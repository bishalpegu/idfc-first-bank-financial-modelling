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halpegu/Desktop/"/>
    </mc:Choice>
  </mc:AlternateContent>
  <xr:revisionPtr revIDLastSave="0" documentId="13_ncr:1_{2C7FAC20-BF1E-5A4C-B0BC-75F322DC46D5}" xr6:coauthVersionLast="47" xr6:coauthVersionMax="47" xr10:uidLastSave="{00000000-0000-0000-0000-000000000000}"/>
  <bookViews>
    <workbookView xWindow="0" yWindow="660" windowWidth="29400" windowHeight="18460" activeTab="6" xr2:uid="{71C81B76-966A-A047-B9A0-907EC3CEA012}"/>
  </bookViews>
  <sheets>
    <sheet name="Cover" sheetId="1" r:id="rId1"/>
    <sheet name="Outputs" sheetId="2" r:id="rId2"/>
    <sheet name="Inputs" sheetId="3" r:id="rId3"/>
    <sheet name="Model" sheetId="4" r:id="rId4"/>
    <sheet name="DCF Valuation" sheetId="6" r:id="rId5"/>
    <sheet name="Comparable Company Analysis" sheetId="7" r:id="rId6"/>
    <sheet name="Historical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1" i="3" l="1"/>
  <c r="F17" i="6"/>
  <c r="F70" i="7"/>
  <c r="I66" i="7"/>
  <c r="J66" i="7" s="1"/>
  <c r="K66" i="7" s="1"/>
  <c r="I65" i="7"/>
  <c r="J65" i="7" s="1"/>
  <c r="K65" i="7" s="1"/>
  <c r="E50" i="7"/>
  <c r="D66" i="7" s="1"/>
  <c r="F66" i="7" s="1"/>
  <c r="G49" i="7"/>
  <c r="F49" i="7"/>
  <c r="E49" i="7"/>
  <c r="B49" i="7"/>
  <c r="G48" i="7"/>
  <c r="F48" i="7"/>
  <c r="E48" i="7"/>
  <c r="B48" i="7"/>
  <c r="G47" i="7"/>
  <c r="F47" i="7"/>
  <c r="E47" i="7"/>
  <c r="B47" i="7"/>
  <c r="G46" i="7"/>
  <c r="F46" i="7"/>
  <c r="F50" i="7" s="1"/>
  <c r="D65" i="7" s="1"/>
  <c r="F65" i="7" s="1"/>
  <c r="E46" i="7"/>
  <c r="B46" i="7"/>
  <c r="N37" i="7"/>
  <c r="M40" i="7"/>
  <c r="L40" i="7"/>
  <c r="K40" i="7"/>
  <c r="J40" i="7"/>
  <c r="I40" i="7"/>
  <c r="H40" i="7"/>
  <c r="M39" i="7"/>
  <c r="L39" i="7"/>
  <c r="K39" i="7"/>
  <c r="J39" i="7"/>
  <c r="I39" i="7"/>
  <c r="K41" i="7"/>
  <c r="L41" i="7"/>
  <c r="M41" i="7"/>
  <c r="B41" i="7"/>
  <c r="H38" i="7"/>
  <c r="G38" i="7"/>
  <c r="B38" i="7"/>
  <c r="H37" i="7"/>
  <c r="H39" i="7" s="1"/>
  <c r="G37" i="7"/>
  <c r="B37" i="7"/>
  <c r="H36" i="7"/>
  <c r="G36" i="7"/>
  <c r="G40" i="7" s="1"/>
  <c r="B36" i="7"/>
  <c r="H35" i="7"/>
  <c r="G35" i="7"/>
  <c r="B35" i="7"/>
  <c r="G28" i="7"/>
  <c r="N28" i="7" s="1"/>
  <c r="F38" i="7" s="1"/>
  <c r="P38" i="7" s="1"/>
  <c r="N27" i="7"/>
  <c r="F37" i="7" s="1"/>
  <c r="P37" i="7" s="1"/>
  <c r="M27" i="7"/>
  <c r="E37" i="7" s="1"/>
  <c r="O37" i="7" s="1"/>
  <c r="H27" i="7"/>
  <c r="G27" i="7"/>
  <c r="G26" i="7"/>
  <c r="N26" i="7" s="1"/>
  <c r="F36" i="7" s="1"/>
  <c r="P36" i="7" s="1"/>
  <c r="N25" i="7"/>
  <c r="F35" i="7" s="1"/>
  <c r="P35" i="7" s="1"/>
  <c r="M25" i="7"/>
  <c r="E35" i="7" s="1"/>
  <c r="O35" i="7" s="1"/>
  <c r="H25" i="7"/>
  <c r="N35" i="7" s="1"/>
  <c r="G25" i="7"/>
  <c r="D30" i="7"/>
  <c r="E30" i="7"/>
  <c r="F30" i="7"/>
  <c r="G30" i="7" s="1"/>
  <c r="F9" i="7"/>
  <c r="L92" i="6"/>
  <c r="K92" i="6"/>
  <c r="J92" i="6"/>
  <c r="I92" i="6"/>
  <c r="H92" i="6"/>
  <c r="F84" i="6"/>
  <c r="F78" i="6"/>
  <c r="F76" i="6"/>
  <c r="J44" i="6"/>
  <c r="I44" i="6"/>
  <c r="H44" i="6"/>
  <c r="G44" i="6"/>
  <c r="F44" i="6"/>
  <c r="F27" i="6"/>
  <c r="G107" i="6" s="1"/>
  <c r="F21" i="6"/>
  <c r="F19" i="6"/>
  <c r="F74" i="6" s="1"/>
  <c r="C21" i="1" a="1"/>
  <c r="C21" i="1" s="1"/>
  <c r="F30" i="2"/>
  <c r="G30" i="2"/>
  <c r="H30" i="2"/>
  <c r="I29" i="2"/>
  <c r="F26" i="2"/>
  <c r="F25" i="2"/>
  <c r="F24" i="2"/>
  <c r="F22" i="2"/>
  <c r="H16" i="2"/>
  <c r="O305" i="4"/>
  <c r="N305" i="4"/>
  <c r="M305" i="4"/>
  <c r="L305" i="4"/>
  <c r="K305" i="4"/>
  <c r="O304" i="4"/>
  <c r="N304" i="4"/>
  <c r="M304" i="4"/>
  <c r="L304" i="4"/>
  <c r="K304" i="4"/>
  <c r="J303" i="4"/>
  <c r="J31" i="2" s="1"/>
  <c r="I303" i="4"/>
  <c r="I31" i="2" s="1"/>
  <c r="H303" i="4"/>
  <c r="H31" i="2" s="1"/>
  <c r="G303" i="4"/>
  <c r="G31" i="2" s="1"/>
  <c r="F303" i="4"/>
  <c r="F31" i="2" s="1"/>
  <c r="I302" i="4"/>
  <c r="I30" i="2" s="1"/>
  <c r="K300" i="4"/>
  <c r="L300" i="4" s="1"/>
  <c r="M300" i="4" s="1"/>
  <c r="N300" i="4" s="1"/>
  <c r="O300" i="4" s="1"/>
  <c r="J300" i="4"/>
  <c r="I300" i="4"/>
  <c r="J299" i="4"/>
  <c r="I299" i="4"/>
  <c r="O298" i="4"/>
  <c r="N298" i="4"/>
  <c r="M298" i="4"/>
  <c r="L298" i="4"/>
  <c r="K298" i="4"/>
  <c r="J296" i="4"/>
  <c r="I296" i="4"/>
  <c r="O295" i="4"/>
  <c r="N295" i="4"/>
  <c r="M295" i="4"/>
  <c r="L295" i="4"/>
  <c r="K295" i="4"/>
  <c r="O279" i="4"/>
  <c r="N279" i="4"/>
  <c r="M279" i="4"/>
  <c r="L279" i="4"/>
  <c r="K279" i="4"/>
  <c r="O274" i="4"/>
  <c r="O39" i="6" s="1"/>
  <c r="N274" i="4"/>
  <c r="N66" i="4" s="1"/>
  <c r="N172" i="4" s="1"/>
  <c r="M274" i="4"/>
  <c r="M39" i="6" s="1"/>
  <c r="L274" i="4"/>
  <c r="L39" i="6" s="1"/>
  <c r="K274" i="4"/>
  <c r="F55" i="7" s="1"/>
  <c r="F264" i="4"/>
  <c r="O263" i="4"/>
  <c r="N263" i="4"/>
  <c r="M263" i="4"/>
  <c r="L263" i="4"/>
  <c r="K263" i="4"/>
  <c r="H254" i="4"/>
  <c r="O253" i="4"/>
  <c r="N253" i="4"/>
  <c r="M253" i="4"/>
  <c r="L253" i="4"/>
  <c r="K253" i="4"/>
  <c r="O251" i="4"/>
  <c r="N251" i="4"/>
  <c r="M251" i="4"/>
  <c r="L251" i="4"/>
  <c r="K251" i="4"/>
  <c r="J242" i="4"/>
  <c r="I242" i="4"/>
  <c r="H242" i="4"/>
  <c r="G242" i="4"/>
  <c r="F242" i="4"/>
  <c r="F241" i="4"/>
  <c r="O237" i="4"/>
  <c r="N237" i="4"/>
  <c r="M237" i="4"/>
  <c r="L237" i="4"/>
  <c r="K237" i="4"/>
  <c r="J236" i="4"/>
  <c r="J241" i="4" s="1"/>
  <c r="I236" i="4"/>
  <c r="I241" i="4" s="1"/>
  <c r="H236" i="4"/>
  <c r="G236" i="4"/>
  <c r="G241" i="4" s="1"/>
  <c r="F236" i="4"/>
  <c r="O235" i="4"/>
  <c r="N235" i="4"/>
  <c r="M235" i="4"/>
  <c r="L235" i="4"/>
  <c r="K235" i="4"/>
  <c r="K236" i="4" s="1"/>
  <c r="L236" i="4" s="1"/>
  <c r="L241" i="4" s="1"/>
  <c r="L60" i="4" s="1"/>
  <c r="L61" i="4" s="1"/>
  <c r="L170" i="4" s="1"/>
  <c r="H226" i="4"/>
  <c r="O225" i="4"/>
  <c r="N225" i="4"/>
  <c r="M225" i="4"/>
  <c r="L225" i="4"/>
  <c r="K225" i="4"/>
  <c r="O223" i="4"/>
  <c r="N223" i="4"/>
  <c r="M223" i="4"/>
  <c r="L223" i="4"/>
  <c r="K223" i="4"/>
  <c r="O219" i="4"/>
  <c r="N219" i="4"/>
  <c r="M219" i="4"/>
  <c r="L219" i="4"/>
  <c r="K219" i="4"/>
  <c r="O203" i="4"/>
  <c r="O205" i="4" s="1"/>
  <c r="N203" i="4"/>
  <c r="N205" i="4" s="1"/>
  <c r="M203" i="4"/>
  <c r="M205" i="4" s="1"/>
  <c r="L203" i="4"/>
  <c r="L205" i="4" s="1"/>
  <c r="K203" i="4"/>
  <c r="K205" i="4" s="1"/>
  <c r="O200" i="4"/>
  <c r="N200" i="4"/>
  <c r="M200" i="4"/>
  <c r="L200" i="4"/>
  <c r="K200" i="4"/>
  <c r="O199" i="4"/>
  <c r="N199" i="4"/>
  <c r="M199" i="4"/>
  <c r="L199" i="4"/>
  <c r="K199" i="4"/>
  <c r="O195" i="4"/>
  <c r="N195" i="4"/>
  <c r="M195" i="4"/>
  <c r="L195" i="4"/>
  <c r="K195" i="4"/>
  <c r="O193" i="4"/>
  <c r="N193" i="4"/>
  <c r="M193" i="4"/>
  <c r="L193" i="4"/>
  <c r="K193" i="4"/>
  <c r="O191" i="4"/>
  <c r="N191" i="4"/>
  <c r="M191" i="4"/>
  <c r="L191" i="4"/>
  <c r="K191" i="4"/>
  <c r="K178" i="4"/>
  <c r="O164" i="4"/>
  <c r="N164" i="4"/>
  <c r="M164" i="4"/>
  <c r="L164" i="4"/>
  <c r="K164" i="4"/>
  <c r="H163" i="4"/>
  <c r="F163" i="4"/>
  <c r="O162" i="4"/>
  <c r="N162" i="4"/>
  <c r="M162" i="4"/>
  <c r="L162" i="4"/>
  <c r="K162" i="4"/>
  <c r="F158" i="4"/>
  <c r="O157" i="4"/>
  <c r="N157" i="4"/>
  <c r="M157" i="4"/>
  <c r="L157" i="4"/>
  <c r="K157" i="4"/>
  <c r="F157" i="4"/>
  <c r="F43" i="3" s="1"/>
  <c r="O146" i="4"/>
  <c r="N146" i="4"/>
  <c r="M146" i="4"/>
  <c r="L146" i="4"/>
  <c r="K146" i="4"/>
  <c r="J140" i="4"/>
  <c r="I140" i="4"/>
  <c r="H140" i="4"/>
  <c r="G140" i="4"/>
  <c r="F140" i="4"/>
  <c r="O139" i="4"/>
  <c r="N139" i="4"/>
  <c r="M139" i="4"/>
  <c r="M27" i="2" s="1"/>
  <c r="L139" i="4"/>
  <c r="L27" i="2" s="1"/>
  <c r="K139" i="4"/>
  <c r="J138" i="4"/>
  <c r="J137" i="4" s="1"/>
  <c r="J16" i="3" s="1"/>
  <c r="I138" i="4"/>
  <c r="I139" i="4" s="1"/>
  <c r="J123" i="4"/>
  <c r="J29" i="2" s="1"/>
  <c r="I123" i="4"/>
  <c r="H123" i="4"/>
  <c r="H29" i="2" s="1"/>
  <c r="G123" i="4"/>
  <c r="G29" i="2" s="1"/>
  <c r="F123" i="4"/>
  <c r="F29" i="2" s="1"/>
  <c r="J122" i="4"/>
  <c r="I122" i="4"/>
  <c r="H122" i="4"/>
  <c r="G122" i="4"/>
  <c r="F122" i="4"/>
  <c r="J121" i="4"/>
  <c r="I121" i="4"/>
  <c r="I120" i="4" s="1"/>
  <c r="I68" i="3" s="1"/>
  <c r="H121" i="4"/>
  <c r="G121" i="4"/>
  <c r="F121" i="4"/>
  <c r="F120" i="4" s="1"/>
  <c r="F68" i="3" s="1"/>
  <c r="O120" i="4"/>
  <c r="N120" i="4"/>
  <c r="M120" i="4"/>
  <c r="L120" i="4"/>
  <c r="K120" i="4"/>
  <c r="O119" i="4"/>
  <c r="O28" i="2" s="1"/>
  <c r="N119" i="4"/>
  <c r="N28" i="2" s="1"/>
  <c r="M119" i="4"/>
  <c r="M28" i="2" s="1"/>
  <c r="L119" i="4"/>
  <c r="L28" i="2" s="1"/>
  <c r="K119" i="4"/>
  <c r="K28" i="2" s="1"/>
  <c r="J119" i="4"/>
  <c r="J28" i="2" s="1"/>
  <c r="I119" i="4"/>
  <c r="I28" i="2" s="1"/>
  <c r="H119" i="4"/>
  <c r="G119" i="4"/>
  <c r="G67" i="3" s="1"/>
  <c r="F119" i="4"/>
  <c r="F67" i="3" s="1"/>
  <c r="J100" i="4"/>
  <c r="J286" i="4" s="1"/>
  <c r="K283" i="4" s="1"/>
  <c r="I100" i="4"/>
  <c r="I286" i="4" s="1"/>
  <c r="J283" i="4" s="1"/>
  <c r="H100" i="4"/>
  <c r="H286" i="4" s="1"/>
  <c r="I283" i="4" s="1"/>
  <c r="G100" i="4"/>
  <c r="G286" i="4" s="1"/>
  <c r="H283" i="4" s="1"/>
  <c r="F100" i="4"/>
  <c r="F286" i="4" s="1"/>
  <c r="G283" i="4" s="1"/>
  <c r="J99" i="4"/>
  <c r="I99" i="4"/>
  <c r="I275" i="4" s="1"/>
  <c r="J273" i="4" s="1"/>
  <c r="H99" i="4"/>
  <c r="G99" i="4"/>
  <c r="G275" i="4" s="1"/>
  <c r="H273" i="4" s="1"/>
  <c r="F99" i="4"/>
  <c r="F275" i="4" s="1"/>
  <c r="G273" i="4" s="1"/>
  <c r="J95" i="4"/>
  <c r="J254" i="4" s="1"/>
  <c r="I95" i="4"/>
  <c r="I254" i="4" s="1"/>
  <c r="H95" i="4"/>
  <c r="G95" i="4"/>
  <c r="G254" i="4" s="1"/>
  <c r="F95" i="4"/>
  <c r="F254" i="4" s="1"/>
  <c r="J94" i="4"/>
  <c r="I94" i="4"/>
  <c r="H94" i="4"/>
  <c r="G94" i="4"/>
  <c r="G147" i="4" s="1"/>
  <c r="F94" i="4"/>
  <c r="F147" i="4" s="1"/>
  <c r="G148" i="4" s="1"/>
  <c r="J93" i="4"/>
  <c r="I93" i="4"/>
  <c r="I17" i="2" s="1"/>
  <c r="H93" i="4"/>
  <c r="G93" i="4"/>
  <c r="F93" i="4"/>
  <c r="F138" i="4" s="1"/>
  <c r="J89" i="4"/>
  <c r="J252" i="4" s="1"/>
  <c r="I89" i="4"/>
  <c r="I252" i="4" s="1"/>
  <c r="H89" i="4"/>
  <c r="H252" i="4" s="1"/>
  <c r="G89" i="4"/>
  <c r="G252" i="4" s="1"/>
  <c r="F89" i="4"/>
  <c r="F252" i="4" s="1"/>
  <c r="J88" i="4"/>
  <c r="J243" i="4" s="1"/>
  <c r="K240" i="4" s="1"/>
  <c r="I88" i="4"/>
  <c r="I243" i="4" s="1"/>
  <c r="J240" i="4" s="1"/>
  <c r="H88" i="4"/>
  <c r="H243" i="4" s="1"/>
  <c r="I240" i="4" s="1"/>
  <c r="G88" i="4"/>
  <c r="G243" i="4" s="1"/>
  <c r="H237" i="4" s="1"/>
  <c r="H63" i="3" s="1"/>
  <c r="F88" i="4"/>
  <c r="F243" i="4" s="1"/>
  <c r="G240" i="4" s="1"/>
  <c r="J87" i="4"/>
  <c r="J16" i="2" s="1"/>
  <c r="I87" i="4"/>
  <c r="I16" i="2" s="1"/>
  <c r="H87" i="4"/>
  <c r="G87" i="4"/>
  <c r="G115" i="4" s="1"/>
  <c r="F87" i="4"/>
  <c r="F16" i="2" s="1"/>
  <c r="J86" i="4"/>
  <c r="J158" i="4" s="1"/>
  <c r="I86" i="4"/>
  <c r="I158" i="4" s="1"/>
  <c r="H86" i="4"/>
  <c r="H158" i="4" s="1"/>
  <c r="I159" i="4" s="1"/>
  <c r="G86" i="4"/>
  <c r="G158" i="4" s="1"/>
  <c r="F86" i="4"/>
  <c r="J85" i="4"/>
  <c r="I85" i="4"/>
  <c r="H85" i="4"/>
  <c r="H324" i="4" s="1"/>
  <c r="G85" i="4"/>
  <c r="G324" i="4" s="1"/>
  <c r="F85" i="4"/>
  <c r="J84" i="4"/>
  <c r="J163" i="4" s="1"/>
  <c r="I84" i="4"/>
  <c r="I163" i="4" s="1"/>
  <c r="I162" i="4" s="1"/>
  <c r="I44" i="3" s="1"/>
  <c r="H84" i="4"/>
  <c r="G84" i="4"/>
  <c r="G163" i="4" s="1"/>
  <c r="F84" i="4"/>
  <c r="F73" i="4"/>
  <c r="J70" i="4"/>
  <c r="I70" i="4"/>
  <c r="H70" i="4"/>
  <c r="G70" i="4"/>
  <c r="F70" i="4"/>
  <c r="J68" i="4"/>
  <c r="I68" i="4"/>
  <c r="H68" i="4"/>
  <c r="G68" i="4"/>
  <c r="F68" i="4"/>
  <c r="O66" i="4"/>
  <c r="O172" i="4" s="1"/>
  <c r="M66" i="4"/>
  <c r="M172" i="4" s="1"/>
  <c r="J61" i="4"/>
  <c r="I61" i="4"/>
  <c r="H61" i="4"/>
  <c r="G61" i="4"/>
  <c r="F61" i="4"/>
  <c r="J57" i="4"/>
  <c r="I57" i="4"/>
  <c r="H57" i="4"/>
  <c r="G57" i="4"/>
  <c r="F57" i="4"/>
  <c r="I39" i="4"/>
  <c r="J29" i="4"/>
  <c r="J264" i="4" s="1"/>
  <c r="I29" i="4"/>
  <c r="I264" i="4" s="1"/>
  <c r="H29" i="4"/>
  <c r="H264" i="4" s="1"/>
  <c r="G29" i="4"/>
  <c r="G264" i="4" s="1"/>
  <c r="F29" i="4"/>
  <c r="J26" i="4"/>
  <c r="J128" i="4" s="1"/>
  <c r="I26" i="4"/>
  <c r="I128" i="4" s="1"/>
  <c r="H26" i="4"/>
  <c r="H12" i="2" s="1"/>
  <c r="G26" i="4"/>
  <c r="G12" i="2" s="1"/>
  <c r="F26" i="4"/>
  <c r="J22" i="4"/>
  <c r="J226" i="4" s="1"/>
  <c r="I22" i="4"/>
  <c r="I226" i="4" s="1"/>
  <c r="H22" i="4"/>
  <c r="G22" i="4"/>
  <c r="G226" i="4" s="1"/>
  <c r="F22" i="4"/>
  <c r="F226" i="4" s="1"/>
  <c r="J21" i="4"/>
  <c r="I21" i="4"/>
  <c r="H21" i="4"/>
  <c r="H224" i="4" s="1"/>
  <c r="H223" i="4" s="1"/>
  <c r="H60" i="3" s="1"/>
  <c r="G21" i="4"/>
  <c r="G224" i="4" s="1"/>
  <c r="G223" i="4" s="1"/>
  <c r="G60" i="3" s="1"/>
  <c r="F21" i="4"/>
  <c r="F224" i="4" s="1"/>
  <c r="J18" i="4"/>
  <c r="J220" i="4" s="1"/>
  <c r="I18" i="4"/>
  <c r="H18" i="4"/>
  <c r="G18" i="4"/>
  <c r="F18" i="4"/>
  <c r="J15" i="4"/>
  <c r="I15" i="4"/>
  <c r="I207" i="4" s="1"/>
  <c r="H15" i="4"/>
  <c r="G15" i="4"/>
  <c r="G207" i="4" s="1"/>
  <c r="F15" i="4"/>
  <c r="F207" i="4" s="1"/>
  <c r="J12" i="4"/>
  <c r="I12" i="4"/>
  <c r="H12" i="4"/>
  <c r="G12" i="4"/>
  <c r="F12" i="4"/>
  <c r="F196" i="4" s="1"/>
  <c r="J11" i="4"/>
  <c r="I11" i="4"/>
  <c r="H11" i="4"/>
  <c r="H194" i="4" s="1"/>
  <c r="G11" i="4"/>
  <c r="G194" i="4" s="1"/>
  <c r="F11" i="4"/>
  <c r="J10" i="4"/>
  <c r="I10" i="4"/>
  <c r="I192" i="4" s="1"/>
  <c r="H10" i="4"/>
  <c r="G10" i="4"/>
  <c r="G192" i="4" s="1"/>
  <c r="F10" i="4"/>
  <c r="F192" i="4" s="1"/>
  <c r="J9" i="4"/>
  <c r="I9" i="4"/>
  <c r="H9" i="4"/>
  <c r="G9" i="4"/>
  <c r="F9" i="4"/>
  <c r="B6" i="4" a="1"/>
  <c r="B6" i="4" s="1"/>
  <c r="B6" i="2" s="1"/>
  <c r="K5" i="4"/>
  <c r="K269" i="4" s="1"/>
  <c r="K38" i="3"/>
  <c r="B32" i="3"/>
  <c r="B33" i="3"/>
  <c r="B34" i="3"/>
  <c r="K30" i="3" a="1"/>
  <c r="K30" i="3" s="1"/>
  <c r="K127" i="4" s="1"/>
  <c r="L30" i="3" a="1"/>
  <c r="L30" i="3" s="1"/>
  <c r="L127" i="4" s="1"/>
  <c r="M30" i="3" a="1"/>
  <c r="M30" i="3" s="1"/>
  <c r="M127" i="4" s="1"/>
  <c r="N30" i="3" a="1"/>
  <c r="N30" i="3" s="1"/>
  <c r="N127" i="4" s="1"/>
  <c r="O30" i="3" a="1"/>
  <c r="O30" i="3" s="1"/>
  <c r="O127" i="4" s="1"/>
  <c r="B25" i="3"/>
  <c r="B26" i="3"/>
  <c r="B27" i="3"/>
  <c r="K23" i="3" a="1"/>
  <c r="K23" i="3" s="1"/>
  <c r="K189" i="4" s="1"/>
  <c r="L23" i="3" a="1"/>
  <c r="L23" i="3" s="1"/>
  <c r="L189" i="4" s="1"/>
  <c r="M23" i="3" a="1"/>
  <c r="M23" i="3" s="1"/>
  <c r="M189" i="4" s="1"/>
  <c r="N23" i="3" a="1"/>
  <c r="N23" i="3" s="1"/>
  <c r="N189" i="4" s="1"/>
  <c r="O23" i="3" a="1"/>
  <c r="O23" i="3" s="1"/>
  <c r="O189" i="4" s="1"/>
  <c r="B18" i="3"/>
  <c r="B19" i="3"/>
  <c r="B20" i="3"/>
  <c r="K16" i="3" a="1"/>
  <c r="K16" i="3" s="1"/>
  <c r="K137" i="4" s="1"/>
  <c r="L16" i="3" a="1"/>
  <c r="L16" i="3" s="1"/>
  <c r="L137" i="4" s="1"/>
  <c r="M16" i="3" a="1"/>
  <c r="M16" i="3" s="1"/>
  <c r="M137" i="4" s="1"/>
  <c r="N16" i="3" a="1"/>
  <c r="N16" i="3" s="1"/>
  <c r="N137" i="4" s="1"/>
  <c r="O16" i="3" a="1"/>
  <c r="O16" i="3" s="1"/>
  <c r="O137" i="4" s="1"/>
  <c r="K9" i="3" a="1"/>
  <c r="K9" i="3" s="1"/>
  <c r="K114" i="4" s="1"/>
  <c r="L9" i="3" a="1"/>
  <c r="L9" i="3" s="1"/>
  <c r="L114" i="4" s="1"/>
  <c r="M9" i="3" a="1"/>
  <c r="M9" i="3" s="1"/>
  <c r="M114" i="4" s="1"/>
  <c r="N9" i="3" a="1"/>
  <c r="N9" i="3" s="1"/>
  <c r="N114" i="4" s="1"/>
  <c r="O9" i="3" a="1"/>
  <c r="O9" i="3" s="1"/>
  <c r="O114" i="4" s="1"/>
  <c r="F6" i="3" a="1"/>
  <c r="F6" i="3" s="1"/>
  <c r="K4" i="3"/>
  <c r="O38" i="3" s="1"/>
  <c r="F49" i="5"/>
  <c r="I49" i="5"/>
  <c r="J49" i="5"/>
  <c r="F46" i="5"/>
  <c r="G46" i="5"/>
  <c r="G49" i="5" s="1"/>
  <c r="H46" i="5"/>
  <c r="H49" i="5" s="1"/>
  <c r="I46" i="5"/>
  <c r="J46" i="5"/>
  <c r="G38" i="5"/>
  <c r="H38" i="5"/>
  <c r="I38" i="5"/>
  <c r="F37" i="5"/>
  <c r="G37" i="5"/>
  <c r="H37" i="5"/>
  <c r="I37" i="5"/>
  <c r="J37" i="5"/>
  <c r="F30" i="5"/>
  <c r="F38" i="5" s="1"/>
  <c r="G30" i="5"/>
  <c r="H30" i="5"/>
  <c r="I30" i="5"/>
  <c r="J30" i="5"/>
  <c r="J38" i="5" s="1"/>
  <c r="F19" i="5"/>
  <c r="F21" i="5" s="1"/>
  <c r="G19" i="5"/>
  <c r="G21" i="5" s="1"/>
  <c r="F12" i="5"/>
  <c r="G12" i="5"/>
  <c r="H12" i="5"/>
  <c r="H19" i="5" s="1"/>
  <c r="H21" i="5" s="1"/>
  <c r="I12" i="5"/>
  <c r="I19" i="5" s="1"/>
  <c r="I21" i="5" s="1"/>
  <c r="J12" i="5"/>
  <c r="K30" i="7" s="1"/>
  <c r="J5" i="5"/>
  <c r="I5" i="5" s="1"/>
  <c r="H5" i="5" s="1"/>
  <c r="G5" i="5" s="1"/>
  <c r="F5" i="5" s="1"/>
  <c r="K220" i="4" l="1"/>
  <c r="K66" i="4"/>
  <c r="K172" i="4" s="1"/>
  <c r="K201" i="4"/>
  <c r="L66" i="4"/>
  <c r="L172" i="4" s="1"/>
  <c r="F4" i="3"/>
  <c r="N38" i="3"/>
  <c r="O4" i="3"/>
  <c r="N4" i="3"/>
  <c r="M4" i="3"/>
  <c r="L4" i="3"/>
  <c r="G38" i="3"/>
  <c r="K44" i="4"/>
  <c r="H4" i="3"/>
  <c r="L5" i="4"/>
  <c r="L232" i="4" s="1"/>
  <c r="M38" i="3"/>
  <c r="K185" i="4"/>
  <c r="L38" i="3"/>
  <c r="G4" i="3"/>
  <c r="R78" i="7"/>
  <c r="I220" i="4"/>
  <c r="I10" i="2"/>
  <c r="H67" i="3"/>
  <c r="H28" i="2"/>
  <c r="J162" i="4"/>
  <c r="J44" i="3" s="1"/>
  <c r="J253" i="4"/>
  <c r="J47" i="3" s="1"/>
  <c r="F40" i="7"/>
  <c r="F39" i="7"/>
  <c r="I64" i="7" s="1"/>
  <c r="F101" i="4"/>
  <c r="H225" i="4"/>
  <c r="H61" i="3" s="1"/>
  <c r="G74" i="4"/>
  <c r="I96" i="4"/>
  <c r="G235" i="4"/>
  <c r="G62" i="3" s="1"/>
  <c r="F56" i="7"/>
  <c r="H30" i="7"/>
  <c r="N41" i="7" s="1"/>
  <c r="F107" i="7"/>
  <c r="J19" i="5"/>
  <c r="J21" i="5" s="1"/>
  <c r="J207" i="4"/>
  <c r="J39" i="4"/>
  <c r="J147" i="4"/>
  <c r="K147" i="4" s="1"/>
  <c r="J96" i="4"/>
  <c r="H66" i="7"/>
  <c r="G66" i="7"/>
  <c r="F23" i="4"/>
  <c r="H74" i="4"/>
  <c r="G17" i="2"/>
  <c r="G138" i="4"/>
  <c r="G137" i="4" s="1"/>
  <c r="G16" i="3" s="1"/>
  <c r="G128" i="4"/>
  <c r="F162" i="4"/>
  <c r="F44" i="3" s="1"/>
  <c r="H38" i="3"/>
  <c r="I38" i="3"/>
  <c r="I4" i="3"/>
  <c r="J38" i="3"/>
  <c r="J4" i="3"/>
  <c r="F38" i="3"/>
  <c r="F220" i="4"/>
  <c r="F10" i="2"/>
  <c r="G23" i="4"/>
  <c r="I74" i="4"/>
  <c r="K242" i="4"/>
  <c r="K49" i="4" s="1"/>
  <c r="J115" i="4"/>
  <c r="J251" i="4" s="1"/>
  <c r="J46" i="3" s="1"/>
  <c r="H128" i="4"/>
  <c r="G220" i="4"/>
  <c r="G10" i="2"/>
  <c r="F128" i="4"/>
  <c r="F12" i="2"/>
  <c r="F141" i="4"/>
  <c r="F139" i="4"/>
  <c r="G237" i="4"/>
  <c r="G63" i="3" s="1"/>
  <c r="H65" i="7"/>
  <c r="G65" i="7"/>
  <c r="H220" i="4"/>
  <c r="H10" i="2"/>
  <c r="I41" i="3"/>
  <c r="I27" i="2"/>
  <c r="J74" i="4"/>
  <c r="H96" i="4"/>
  <c r="I225" i="4"/>
  <c r="I61" i="3" s="1"/>
  <c r="H101" i="4"/>
  <c r="N201" i="4"/>
  <c r="K206" i="4"/>
  <c r="K241" i="4"/>
  <c r="K60" i="4" s="1"/>
  <c r="K61" i="4" s="1"/>
  <c r="K170" i="4" s="1"/>
  <c r="I301" i="4"/>
  <c r="J67" i="3"/>
  <c r="J12" i="2"/>
  <c r="N27" i="2"/>
  <c r="L5" i="6"/>
  <c r="G95" i="6"/>
  <c r="L44" i="4"/>
  <c r="F74" i="4"/>
  <c r="J319" i="4"/>
  <c r="G101" i="4"/>
  <c r="H138" i="4"/>
  <c r="I137" i="4" s="1"/>
  <c r="I16" i="3" s="1"/>
  <c r="O201" i="4"/>
  <c r="J219" i="4"/>
  <c r="J59" i="3" s="1"/>
  <c r="I12" i="2"/>
  <c r="H17" i="2"/>
  <c r="G28" i="2"/>
  <c r="K5" i="6"/>
  <c r="K53" i="6"/>
  <c r="G96" i="6"/>
  <c r="F108" i="7" a="1"/>
  <c r="F108" i="7" s="1"/>
  <c r="F28" i="2"/>
  <c r="K39" i="6"/>
  <c r="K44" i="6" s="1"/>
  <c r="L44" i="6" s="1"/>
  <c r="M44" i="6" s="1"/>
  <c r="N44" i="6" s="1"/>
  <c r="O44" i="6" s="1"/>
  <c r="L53" i="6"/>
  <c r="G97" i="6"/>
  <c r="G39" i="7"/>
  <c r="F319" i="4"/>
  <c r="F17" i="2"/>
  <c r="K27" i="2"/>
  <c r="F33" i="6"/>
  <c r="M53" i="6"/>
  <c r="G103" i="6"/>
  <c r="G159" i="4"/>
  <c r="G191" i="4" s="1"/>
  <c r="G50" i="3" s="1"/>
  <c r="N53" i="6"/>
  <c r="G104" i="6"/>
  <c r="H240" i="4"/>
  <c r="G16" i="2"/>
  <c r="N39" i="6"/>
  <c r="O53" i="6"/>
  <c r="G105" i="6"/>
  <c r="H26" i="7"/>
  <c r="N36" i="7" s="1"/>
  <c r="N39" i="7" s="1"/>
  <c r="H28" i="7"/>
  <c r="N38" i="7" s="1"/>
  <c r="M236" i="4"/>
  <c r="M241" i="4" s="1"/>
  <c r="M60" i="4" s="1"/>
  <c r="M61" i="4" s="1"/>
  <c r="M170" i="4" s="1"/>
  <c r="J237" i="4"/>
  <c r="J63" i="3" s="1"/>
  <c r="K5" i="2"/>
  <c r="J10" i="2"/>
  <c r="G93" i="6"/>
  <c r="G106" i="6"/>
  <c r="M26" i="7"/>
  <c r="E36" i="7" s="1"/>
  <c r="O36" i="7" s="1"/>
  <c r="E40" i="7" s="1"/>
  <c r="M28" i="7"/>
  <c r="E38" i="7" s="1"/>
  <c r="O38" i="7" s="1"/>
  <c r="F253" i="4"/>
  <c r="F47" i="3" s="1"/>
  <c r="J120" i="4"/>
  <c r="J68" i="3" s="1"/>
  <c r="M201" i="4"/>
  <c r="I67" i="3"/>
  <c r="J17" i="2"/>
  <c r="O27" i="2"/>
  <c r="G94" i="6"/>
  <c r="B6" i="6"/>
  <c r="H219" i="4"/>
  <c r="H59" i="3" s="1"/>
  <c r="I219" i="4"/>
  <c r="I59" i="3" s="1"/>
  <c r="B270" i="4"/>
  <c r="B216" i="4"/>
  <c r="B233" i="4"/>
  <c r="B260" i="4"/>
  <c r="B249" i="4"/>
  <c r="B186" i="4"/>
  <c r="B81" i="4"/>
  <c r="B45" i="4"/>
  <c r="B111" i="4"/>
  <c r="B292" i="4"/>
  <c r="B154" i="4"/>
  <c r="B134" i="4"/>
  <c r="H142" i="4"/>
  <c r="G141" i="4"/>
  <c r="G146" i="4"/>
  <c r="G42" i="3" s="1"/>
  <c r="I224" i="4"/>
  <c r="I23" i="4"/>
  <c r="G320" i="4"/>
  <c r="G39" i="4"/>
  <c r="J157" i="4"/>
  <c r="J43" i="3" s="1"/>
  <c r="F194" i="4"/>
  <c r="F193" i="4"/>
  <c r="F51" i="3" s="1"/>
  <c r="H39" i="4"/>
  <c r="J324" i="4"/>
  <c r="J164" i="4"/>
  <c r="J45" i="3" s="1"/>
  <c r="G157" i="4"/>
  <c r="G43" i="3" s="1"/>
  <c r="J190" i="4"/>
  <c r="I191" i="4"/>
  <c r="I50" i="3" s="1"/>
  <c r="J194" i="4"/>
  <c r="H159" i="4"/>
  <c r="H191" i="4" s="1"/>
  <c r="H50" i="3" s="1"/>
  <c r="J90" i="4"/>
  <c r="J209" i="4"/>
  <c r="J301" i="4"/>
  <c r="J302" i="4"/>
  <c r="J30" i="2" s="1"/>
  <c r="G318" i="4"/>
  <c r="L220" i="4"/>
  <c r="K18" i="4"/>
  <c r="K10" i="2" s="1"/>
  <c r="J192" i="4"/>
  <c r="H137" i="4"/>
  <c r="H16" i="3" s="1"/>
  <c r="H253" i="4"/>
  <c r="H47" i="3" s="1"/>
  <c r="H275" i="4"/>
  <c r="I273" i="4" s="1"/>
  <c r="J142" i="4"/>
  <c r="I141" i="4"/>
  <c r="F190" i="4"/>
  <c r="F115" i="4"/>
  <c r="F318" i="4"/>
  <c r="G90" i="4"/>
  <c r="G18" i="2" s="1"/>
  <c r="K64" i="4"/>
  <c r="I101" i="4"/>
  <c r="G164" i="4"/>
  <c r="G45" i="3" s="1"/>
  <c r="L201" i="4"/>
  <c r="H207" i="4"/>
  <c r="F320" i="4"/>
  <c r="F96" i="4"/>
  <c r="F103" i="4" s="1"/>
  <c r="K226" i="4"/>
  <c r="J225" i="4"/>
  <c r="J61" i="3" s="1"/>
  <c r="J159" i="4"/>
  <c r="J191" i="4" s="1"/>
  <c r="J50" i="3" s="1"/>
  <c r="I157" i="4"/>
  <c r="I43" i="3" s="1"/>
  <c r="I324" i="4"/>
  <c r="I164" i="4"/>
  <c r="I45" i="3" s="1"/>
  <c r="H227" i="4"/>
  <c r="G196" i="4"/>
  <c r="J13" i="4"/>
  <c r="J16" i="4" s="1"/>
  <c r="J9" i="2" s="1"/>
  <c r="L259" i="4"/>
  <c r="L312" i="4"/>
  <c r="L248" i="4"/>
  <c r="L269" i="4"/>
  <c r="G124" i="4"/>
  <c r="G143" i="4"/>
  <c r="H90" i="4"/>
  <c r="H18" i="2" s="1"/>
  <c r="G120" i="4"/>
  <c r="G68" i="3" s="1"/>
  <c r="G139" i="4"/>
  <c r="L215" i="4"/>
  <c r="J23" i="4"/>
  <c r="J224" i="4"/>
  <c r="G319" i="4"/>
  <c r="G96" i="4"/>
  <c r="G103" i="4" s="1"/>
  <c r="J275" i="4"/>
  <c r="K273" i="4" s="1"/>
  <c r="K275" i="4" s="1"/>
  <c r="J101" i="4"/>
  <c r="F13" i="4"/>
  <c r="F16" i="4" s="1"/>
  <c r="H103" i="4"/>
  <c r="H105" i="4" s="1"/>
  <c r="H315" i="4" s="1"/>
  <c r="H196" i="4"/>
  <c r="H13" i="4"/>
  <c r="H16" i="4" s="1"/>
  <c r="H9" i="2" s="1"/>
  <c r="K232" i="4"/>
  <c r="K291" i="4"/>
  <c r="K248" i="4"/>
  <c r="K133" i="4"/>
  <c r="K312" i="4"/>
  <c r="K259" i="4"/>
  <c r="K215" i="4"/>
  <c r="K110" i="4"/>
  <c r="K153" i="4"/>
  <c r="K80" i="4"/>
  <c r="J5" i="4"/>
  <c r="H192" i="4"/>
  <c r="I194" i="4"/>
  <c r="F227" i="4"/>
  <c r="G225" i="4"/>
  <c r="G61" i="3" s="1"/>
  <c r="H23" i="4"/>
  <c r="F75" i="4"/>
  <c r="F209" i="4"/>
  <c r="F90" i="4"/>
  <c r="F18" i="2" s="1"/>
  <c r="H115" i="4"/>
  <c r="I90" i="4"/>
  <c r="I18" i="2" s="1"/>
  <c r="H120" i="4"/>
  <c r="H68" i="3" s="1"/>
  <c r="L133" i="4"/>
  <c r="L185" i="4"/>
  <c r="I237" i="4"/>
  <c r="I63" i="3" s="1"/>
  <c r="J196" i="4"/>
  <c r="H209" i="4"/>
  <c r="J320" i="4"/>
  <c r="G190" i="4"/>
  <c r="G13" i="4"/>
  <c r="G16" i="4" s="1"/>
  <c r="G9" i="2" s="1"/>
  <c r="G162" i="4"/>
  <c r="G44" i="3" s="1"/>
  <c r="I319" i="4"/>
  <c r="G253" i="4"/>
  <c r="G47" i="3" s="1"/>
  <c r="J124" i="4"/>
  <c r="J139" i="4"/>
  <c r="H147" i="4"/>
  <c r="H320" i="4" s="1"/>
  <c r="F324" i="4"/>
  <c r="F164" i="4"/>
  <c r="F45" i="3" s="1"/>
  <c r="K138" i="4"/>
  <c r="K142" i="4" s="1"/>
  <c r="K202" i="4" s="1"/>
  <c r="J143" i="4"/>
  <c r="I147" i="4"/>
  <c r="I320" i="4" s="1"/>
  <c r="K148" i="4"/>
  <c r="K204" i="4" s="1"/>
  <c r="J235" i="4"/>
  <c r="J62" i="3" s="1"/>
  <c r="H235" i="4"/>
  <c r="H62" i="3" s="1"/>
  <c r="H241" i="4"/>
  <c r="I190" i="4"/>
  <c r="I13" i="4"/>
  <c r="I16" i="4" s="1"/>
  <c r="I9" i="2" s="1"/>
  <c r="G227" i="4"/>
  <c r="I209" i="4"/>
  <c r="J210" i="4" s="1"/>
  <c r="G251" i="4"/>
  <c r="G46" i="3" s="1"/>
  <c r="I253" i="4"/>
  <c r="I47" i="3" s="1"/>
  <c r="I115" i="4"/>
  <c r="J141" i="4"/>
  <c r="H190" i="4"/>
  <c r="I196" i="4"/>
  <c r="G209" i="4"/>
  <c r="H210" i="4" s="1"/>
  <c r="G142" i="4"/>
  <c r="I235" i="4"/>
  <c r="I62" i="3" s="1"/>
  <c r="L147" i="4" l="1"/>
  <c r="L148" i="4" s="1"/>
  <c r="L204" i="4" s="1"/>
  <c r="L110" i="4"/>
  <c r="L153" i="4"/>
  <c r="L291" i="4"/>
  <c r="N236" i="4"/>
  <c r="L5" i="2"/>
  <c r="L80" i="4"/>
  <c r="M5" i="4"/>
  <c r="D86" i="7"/>
  <c r="D89" i="7"/>
  <c r="D87" i="7"/>
  <c r="D90" i="7"/>
  <c r="D85" i="7"/>
  <c r="D88" i="7"/>
  <c r="D63" i="7"/>
  <c r="D91" i="7"/>
  <c r="F16" i="6"/>
  <c r="F72" i="6" s="1"/>
  <c r="J5" i="2"/>
  <c r="J5" i="6"/>
  <c r="K56" i="6" s="1"/>
  <c r="K57" i="6" s="1"/>
  <c r="J297" i="4"/>
  <c r="J298" i="4" s="1"/>
  <c r="J75" i="3" s="1"/>
  <c r="I30" i="7"/>
  <c r="J40" i="6"/>
  <c r="J19" i="2"/>
  <c r="H148" i="4"/>
  <c r="J27" i="2"/>
  <c r="J41" i="3"/>
  <c r="H139" i="4"/>
  <c r="H164" i="4"/>
  <c r="H45" i="3" s="1"/>
  <c r="F105" i="4"/>
  <c r="F315" i="4" s="1"/>
  <c r="H141" i="4"/>
  <c r="D99" i="7"/>
  <c r="D102" i="7"/>
  <c r="D97" i="7"/>
  <c r="D100" i="7"/>
  <c r="D103" i="7"/>
  <c r="D98" i="7"/>
  <c r="D101" i="7"/>
  <c r="D64" i="7"/>
  <c r="E39" i="7"/>
  <c r="I63" i="7" s="1"/>
  <c r="F19" i="4"/>
  <c r="F24" i="4" s="1"/>
  <c r="F9" i="2"/>
  <c r="I40" i="6"/>
  <c r="I19" i="2"/>
  <c r="L30" i="7"/>
  <c r="J18" i="2"/>
  <c r="N40" i="7"/>
  <c r="G219" i="4"/>
  <c r="G59" i="3" s="1"/>
  <c r="K243" i="4"/>
  <c r="G27" i="2"/>
  <c r="G41" i="3"/>
  <c r="J103" i="4"/>
  <c r="J318" i="4"/>
  <c r="K115" i="4"/>
  <c r="K143" i="4" s="1"/>
  <c r="H319" i="4"/>
  <c r="H157" i="4"/>
  <c r="H43" i="3" s="1"/>
  <c r="I142" i="4"/>
  <c r="G297" i="4"/>
  <c r="G19" i="2"/>
  <c r="G40" i="6"/>
  <c r="L56" i="6"/>
  <c r="L57" i="6" s="1"/>
  <c r="H297" i="4"/>
  <c r="H19" i="2"/>
  <c r="H40" i="6"/>
  <c r="F41" i="3"/>
  <c r="F27" i="2"/>
  <c r="F297" i="4"/>
  <c r="F40" i="6"/>
  <c r="F19" i="2"/>
  <c r="H162" i="4"/>
  <c r="H44" i="3" s="1"/>
  <c r="K207" i="4"/>
  <c r="K15" i="4" s="1"/>
  <c r="I114" i="4"/>
  <c r="I9" i="3" s="1"/>
  <c r="I143" i="4"/>
  <c r="J116" i="4"/>
  <c r="I124" i="4"/>
  <c r="J185" i="4"/>
  <c r="J259" i="4"/>
  <c r="J248" i="4"/>
  <c r="J312" i="4"/>
  <c r="J153" i="4"/>
  <c r="J80" i="4"/>
  <c r="I5" i="4"/>
  <c r="J133" i="4"/>
  <c r="J291" i="4"/>
  <c r="J232" i="4"/>
  <c r="J110" i="4"/>
  <c r="J269" i="4"/>
  <c r="J215" i="4"/>
  <c r="J44" i="4"/>
  <c r="J19" i="4"/>
  <c r="J24" i="4" s="1"/>
  <c r="J33" i="4"/>
  <c r="J22" i="2" s="1"/>
  <c r="I223" i="4"/>
  <c r="I60" i="3" s="1"/>
  <c r="I227" i="4"/>
  <c r="J105" i="4"/>
  <c r="J315" i="4" s="1"/>
  <c r="I318" i="4"/>
  <c r="H33" i="4"/>
  <c r="H22" i="2" s="1"/>
  <c r="H19" i="4"/>
  <c r="G116" i="4"/>
  <c r="F124" i="4"/>
  <c r="F143" i="4"/>
  <c r="N241" i="4"/>
  <c r="N60" i="4" s="1"/>
  <c r="N61" i="4" s="1"/>
  <c r="N170" i="4" s="1"/>
  <c r="O236" i="4"/>
  <c r="O241" i="4" s="1"/>
  <c r="O60" i="4" s="1"/>
  <c r="O61" i="4" s="1"/>
  <c r="O170" i="4" s="1"/>
  <c r="I294" i="4"/>
  <c r="I295" i="4" s="1"/>
  <c r="I74" i="3" s="1"/>
  <c r="I322" i="4"/>
  <c r="H124" i="4"/>
  <c r="I116" i="4"/>
  <c r="H114" i="4"/>
  <c r="H9" i="3" s="1"/>
  <c r="H143" i="4"/>
  <c r="H251" i="4"/>
  <c r="H46" i="3" s="1"/>
  <c r="K254" i="4"/>
  <c r="K95" i="4" s="1"/>
  <c r="K56" i="4" s="1"/>
  <c r="L138" i="4"/>
  <c r="L142" i="4" s="1"/>
  <c r="L202" i="4" s="1"/>
  <c r="K163" i="4"/>
  <c r="K158" i="4"/>
  <c r="K93" i="4"/>
  <c r="K17" i="2" s="1"/>
  <c r="K140" i="4"/>
  <c r="K141" i="4" s="1"/>
  <c r="H318" i="4"/>
  <c r="I148" i="4"/>
  <c r="H146" i="4"/>
  <c r="H42" i="3" s="1"/>
  <c r="G19" i="4"/>
  <c r="I210" i="4"/>
  <c r="I33" i="4" s="1"/>
  <c r="I22" i="2" s="1"/>
  <c r="F322" i="4"/>
  <c r="F294" i="4"/>
  <c r="H322" i="4"/>
  <c r="H294" i="4"/>
  <c r="I297" i="4"/>
  <c r="I298" i="4" s="1"/>
  <c r="I75" i="3" s="1"/>
  <c r="I103" i="4"/>
  <c r="I105" i="4" s="1"/>
  <c r="I315" i="4" s="1"/>
  <c r="I19" i="4"/>
  <c r="F251" i="4"/>
  <c r="F46" i="3" s="1"/>
  <c r="G210" i="4"/>
  <c r="G33" i="4" s="1"/>
  <c r="G22" i="2" s="1"/>
  <c r="G114" i="4"/>
  <c r="G9" i="3" s="1"/>
  <c r="K171" i="4"/>
  <c r="I251" i="4"/>
  <c r="I46" i="3" s="1"/>
  <c r="F316" i="4"/>
  <c r="G73" i="4"/>
  <c r="L273" i="4"/>
  <c r="L275" i="4" s="1"/>
  <c r="K99" i="4"/>
  <c r="H116" i="4"/>
  <c r="L226" i="4"/>
  <c r="K22" i="4"/>
  <c r="L18" i="4"/>
  <c r="L10" i="2" s="1"/>
  <c r="M220" i="4"/>
  <c r="J148" i="4"/>
  <c r="J146" i="4"/>
  <c r="J42" i="3" s="1"/>
  <c r="I146" i="4"/>
  <c r="I42" i="3" s="1"/>
  <c r="J227" i="4"/>
  <c r="J223" i="4"/>
  <c r="J60" i="3" s="1"/>
  <c r="K224" i="4"/>
  <c r="G294" i="4"/>
  <c r="G322" i="4"/>
  <c r="J114" i="4"/>
  <c r="J9" i="3" s="1"/>
  <c r="G105" i="4"/>
  <c r="G315" i="4" s="1"/>
  <c r="L64" i="4"/>
  <c r="M147" i="4"/>
  <c r="J294" i="4"/>
  <c r="J295" i="4" s="1"/>
  <c r="J74" i="3" s="1"/>
  <c r="J322" i="4"/>
  <c r="N5" i="4" l="1"/>
  <c r="M232" i="4"/>
  <c r="M133" i="4"/>
  <c r="M269" i="4"/>
  <c r="M312" i="4"/>
  <c r="M153" i="4"/>
  <c r="M291" i="4"/>
  <c r="M185" i="4"/>
  <c r="M110" i="4"/>
  <c r="M5" i="6"/>
  <c r="M56" i="6" s="1"/>
  <c r="M57" i="6" s="1"/>
  <c r="M259" i="4"/>
  <c r="M5" i="2"/>
  <c r="M248" i="4"/>
  <c r="M44" i="4"/>
  <c r="M80" i="4"/>
  <c r="M215" i="4"/>
  <c r="E91" i="7"/>
  <c r="F91" i="7" s="1"/>
  <c r="I5" i="6"/>
  <c r="I5" i="2"/>
  <c r="K252" i="4"/>
  <c r="K89" i="4" s="1"/>
  <c r="K55" i="4" s="1"/>
  <c r="K121" i="4"/>
  <c r="K122" i="4" s="1"/>
  <c r="K123" i="4" s="1"/>
  <c r="K29" i="2" s="1"/>
  <c r="L115" i="4"/>
  <c r="L116" i="4" s="1"/>
  <c r="K87" i="4"/>
  <c r="J41" i="6"/>
  <c r="I45" i="6"/>
  <c r="G41" i="6"/>
  <c r="F45" i="6"/>
  <c r="H41" i="6"/>
  <c r="G45" i="6"/>
  <c r="K116" i="4"/>
  <c r="F68" i="6"/>
  <c r="F82" i="6" s="1"/>
  <c r="K41" i="6"/>
  <c r="K51" i="6" s="1"/>
  <c r="K54" i="6" s="1"/>
  <c r="J45" i="6"/>
  <c r="E88" i="7"/>
  <c r="F27" i="4"/>
  <c r="F11" i="2"/>
  <c r="M30" i="7"/>
  <c r="F110" i="7"/>
  <c r="E85" i="7"/>
  <c r="F85" i="7" s="1"/>
  <c r="E90" i="7"/>
  <c r="F90" i="7" s="1"/>
  <c r="N20" i="1"/>
  <c r="J27" i="4"/>
  <c r="J11" i="2"/>
  <c r="J34" i="4"/>
  <c r="J23" i="2" s="1"/>
  <c r="H27" i="2"/>
  <c r="H41" i="3"/>
  <c r="E87" i="7"/>
  <c r="F87" i="7" s="1"/>
  <c r="F34" i="4"/>
  <c r="F23" i="2" s="1"/>
  <c r="I41" i="6"/>
  <c r="H45" i="6"/>
  <c r="E89" i="7"/>
  <c r="F89" i="7" s="1"/>
  <c r="L240" i="4"/>
  <c r="K88" i="4"/>
  <c r="E86" i="7"/>
  <c r="F86" i="7" s="1"/>
  <c r="H35" i="4"/>
  <c r="H24" i="2" s="1"/>
  <c r="H189" i="4"/>
  <c r="H23" i="3" s="1"/>
  <c r="H195" i="4"/>
  <c r="H52" i="3" s="1"/>
  <c r="H127" i="4"/>
  <c r="H30" i="3" s="1"/>
  <c r="I24" i="4"/>
  <c r="J262" i="4"/>
  <c r="J263" i="4" s="1"/>
  <c r="J64" i="3" s="1"/>
  <c r="J30" i="4"/>
  <c r="J36" i="4"/>
  <c r="I291" i="4"/>
  <c r="I248" i="4"/>
  <c r="I312" i="4"/>
  <c r="I110" i="4"/>
  <c r="I153" i="4"/>
  <c r="I80" i="4"/>
  <c r="H5" i="4"/>
  <c r="I133" i="4"/>
  <c r="I215" i="4"/>
  <c r="I44" i="4"/>
  <c r="I259" i="4"/>
  <c r="I232" i="4"/>
  <c r="I185" i="4"/>
  <c r="I269" i="4"/>
  <c r="L99" i="4"/>
  <c r="M273" i="4"/>
  <c r="M275" i="4" s="1"/>
  <c r="N147" i="4"/>
  <c r="N148" i="4" s="1"/>
  <c r="N204" i="4" s="1"/>
  <c r="M64" i="4"/>
  <c r="G75" i="4"/>
  <c r="G193" i="4"/>
  <c r="G51" i="3" s="1"/>
  <c r="L171" i="4"/>
  <c r="L224" i="4"/>
  <c r="K21" i="4"/>
  <c r="K23" i="4" s="1"/>
  <c r="K227" i="4"/>
  <c r="N220" i="4"/>
  <c r="M18" i="4"/>
  <c r="M10" i="2" s="1"/>
  <c r="G24" i="4"/>
  <c r="G34" i="4"/>
  <c r="G23" i="2" s="1"/>
  <c r="K319" i="4"/>
  <c r="K53" i="4"/>
  <c r="J35" i="4"/>
  <c r="J24" i="2" s="1"/>
  <c r="J127" i="4"/>
  <c r="J30" i="3" s="1"/>
  <c r="J189" i="4"/>
  <c r="J23" i="3" s="1"/>
  <c r="J195" i="4"/>
  <c r="J52" i="3" s="1"/>
  <c r="M148" i="4"/>
  <c r="M204" i="4" s="1"/>
  <c r="K86" i="4"/>
  <c r="K54" i="4" s="1"/>
  <c r="K159" i="4"/>
  <c r="K192" i="4" s="1"/>
  <c r="K10" i="4" s="1"/>
  <c r="I127" i="4"/>
  <c r="I30" i="3" s="1"/>
  <c r="I35" i="4"/>
  <c r="I24" i="2" s="1"/>
  <c r="I189" i="4"/>
  <c r="I23" i="3" s="1"/>
  <c r="I195" i="4"/>
  <c r="I52" i="3" s="1"/>
  <c r="K165" i="4"/>
  <c r="K174" i="4" s="1"/>
  <c r="K84" i="4"/>
  <c r="H24" i="4"/>
  <c r="I34" i="4"/>
  <c r="I23" i="2" s="1"/>
  <c r="M226" i="4"/>
  <c r="L22" i="4"/>
  <c r="M138" i="4"/>
  <c r="L163" i="4"/>
  <c r="L158" i="4"/>
  <c r="L93" i="4"/>
  <c r="L17" i="2" s="1"/>
  <c r="L254" i="4"/>
  <c r="L95" i="4" s="1"/>
  <c r="L56" i="4" s="1"/>
  <c r="L140" i="4"/>
  <c r="L141" i="4" s="1"/>
  <c r="G35" i="4"/>
  <c r="G24" i="2" s="1"/>
  <c r="G127" i="4"/>
  <c r="G30" i="3" s="1"/>
  <c r="G189" i="4"/>
  <c r="G23" i="3" s="1"/>
  <c r="G195" i="4"/>
  <c r="G52" i="3" s="1"/>
  <c r="H34" i="4"/>
  <c r="H23" i="2" s="1"/>
  <c r="N248" i="4" l="1"/>
  <c r="N44" i="4"/>
  <c r="N153" i="4"/>
  <c r="N215" i="4"/>
  <c r="N269" i="4"/>
  <c r="N185" i="4"/>
  <c r="N133" i="4"/>
  <c r="N291" i="4"/>
  <c r="N312" i="4"/>
  <c r="N259" i="4"/>
  <c r="N232" i="4"/>
  <c r="N5" i="6"/>
  <c r="N56" i="6" s="1"/>
  <c r="N57" i="6" s="1"/>
  <c r="N5" i="2"/>
  <c r="N80" i="4"/>
  <c r="O5" i="4"/>
  <c r="N110" i="4"/>
  <c r="K124" i="4"/>
  <c r="L190" i="4"/>
  <c r="L9" i="4" s="1"/>
  <c r="L128" i="4"/>
  <c r="L26" i="4" s="1"/>
  <c r="L12" i="2" s="1"/>
  <c r="L196" i="4"/>
  <c r="L12" i="4" s="1"/>
  <c r="H27" i="4"/>
  <c r="H11" i="2"/>
  <c r="I27" i="4"/>
  <c r="I11" i="2"/>
  <c r="K190" i="4"/>
  <c r="K9" i="4" s="1"/>
  <c r="K196" i="4"/>
  <c r="K12" i="4" s="1"/>
  <c r="K128" i="4"/>
  <c r="K26" i="4" s="1"/>
  <c r="F262" i="4"/>
  <c r="F263" i="4" s="1"/>
  <c r="F64" i="3" s="1"/>
  <c r="F36" i="4"/>
  <c r="F30" i="4"/>
  <c r="F88" i="7"/>
  <c r="L242" i="4"/>
  <c r="L49" i="4" s="1"/>
  <c r="K16" i="2"/>
  <c r="K318" i="4"/>
  <c r="G27" i="4"/>
  <c r="G11" i="2"/>
  <c r="H5" i="6"/>
  <c r="H5" i="2"/>
  <c r="J30" i="7"/>
  <c r="J13" i="2"/>
  <c r="J37" i="6"/>
  <c r="E63" i="7"/>
  <c r="E41" i="7"/>
  <c r="L121" i="4"/>
  <c r="L122" i="4" s="1"/>
  <c r="L123" i="4" s="1"/>
  <c r="L29" i="2" s="1"/>
  <c r="L252" i="4"/>
  <c r="L89" i="4" s="1"/>
  <c r="L55" i="4" s="1"/>
  <c r="M115" i="4"/>
  <c r="L143" i="4"/>
  <c r="L87" i="4"/>
  <c r="M142" i="4"/>
  <c r="M202" i="4" s="1"/>
  <c r="O220" i="4"/>
  <c r="O18" i="4" s="1"/>
  <c r="O10" i="2" s="1"/>
  <c r="N18" i="4"/>
  <c r="N10" i="2" s="1"/>
  <c r="L35" i="4"/>
  <c r="L24" i="2" s="1"/>
  <c r="L50" i="4"/>
  <c r="H185" i="4"/>
  <c r="H312" i="4"/>
  <c r="H269" i="4"/>
  <c r="H153" i="4"/>
  <c r="H133" i="4"/>
  <c r="H215" i="4"/>
  <c r="H44" i="4"/>
  <c r="H248" i="4"/>
  <c r="H80" i="4"/>
  <c r="H259" i="4"/>
  <c r="H110" i="4"/>
  <c r="H291" i="4"/>
  <c r="H232" i="4"/>
  <c r="G5" i="4"/>
  <c r="J37" i="4"/>
  <c r="J25" i="2" s="1"/>
  <c r="K278" i="4"/>
  <c r="K280" i="4" s="1"/>
  <c r="K38" i="6" s="1"/>
  <c r="K48" i="6" s="1"/>
  <c r="J321" i="4"/>
  <c r="J38" i="4"/>
  <c r="J26" i="2" s="1"/>
  <c r="J284" i="4"/>
  <c r="N226" i="4"/>
  <c r="M22" i="4"/>
  <c r="H30" i="4"/>
  <c r="H36" i="4"/>
  <c r="H262" i="4"/>
  <c r="H263" i="4" s="1"/>
  <c r="H64" i="3" s="1"/>
  <c r="L319" i="4"/>
  <c r="L53" i="4"/>
  <c r="G30" i="4"/>
  <c r="G262" i="4"/>
  <c r="G263" i="4" s="1"/>
  <c r="G64" i="3" s="1"/>
  <c r="G36" i="4"/>
  <c r="L86" i="4"/>
  <c r="L54" i="4" s="1"/>
  <c r="L227" i="4"/>
  <c r="L21" i="4"/>
  <c r="L23" i="4" s="1"/>
  <c r="M224" i="4"/>
  <c r="M171" i="4"/>
  <c r="I30" i="4"/>
  <c r="I262" i="4"/>
  <c r="I263" i="4" s="1"/>
  <c r="I64" i="3" s="1"/>
  <c r="I36" i="4"/>
  <c r="N273" i="4"/>
  <c r="N275" i="4" s="1"/>
  <c r="M99" i="4"/>
  <c r="L159" i="4"/>
  <c r="L192" i="4" s="1"/>
  <c r="L10" i="4" s="1"/>
  <c r="G316" i="4"/>
  <c r="H73" i="4"/>
  <c r="L165" i="4"/>
  <c r="L174" i="4" s="1"/>
  <c r="L84" i="4"/>
  <c r="M163" i="4"/>
  <c r="N138" i="4"/>
  <c r="N142" i="4" s="1"/>
  <c r="N202" i="4" s="1"/>
  <c r="M93" i="4"/>
  <c r="M17" i="2" s="1"/>
  <c r="M158" i="4"/>
  <c r="M159" i="4" s="1"/>
  <c r="M192" i="4" s="1"/>
  <c r="M10" i="4" s="1"/>
  <c r="M140" i="4"/>
  <c r="M141" i="4" s="1"/>
  <c r="M254" i="4"/>
  <c r="M95" i="4" s="1"/>
  <c r="M56" i="4" s="1"/>
  <c r="O147" i="4"/>
  <c r="N64" i="4"/>
  <c r="L52" i="4" l="1"/>
  <c r="O215" i="4"/>
  <c r="O153" i="4"/>
  <c r="O110" i="4"/>
  <c r="O248" i="4"/>
  <c r="O291" i="4"/>
  <c r="O5" i="2"/>
  <c r="O44" i="4"/>
  <c r="O232" i="4"/>
  <c r="O5" i="6"/>
  <c r="O56" i="6" s="1"/>
  <c r="O57" i="6" s="1"/>
  <c r="O312" i="4"/>
  <c r="O269" i="4"/>
  <c r="O80" i="4"/>
  <c r="O185" i="4"/>
  <c r="O259" i="4"/>
  <c r="O133" i="4"/>
  <c r="L124" i="4"/>
  <c r="M116" i="4"/>
  <c r="M252" i="4"/>
  <c r="M89" i="4" s="1"/>
  <c r="M55" i="4" s="1"/>
  <c r="M121" i="4"/>
  <c r="M122" i="4" s="1"/>
  <c r="M123" i="4" s="1"/>
  <c r="M29" i="2" s="1"/>
  <c r="N115" i="4"/>
  <c r="N143" i="4" s="1"/>
  <c r="M87" i="4"/>
  <c r="I37" i="6"/>
  <c r="I13" i="2"/>
  <c r="G37" i="6"/>
  <c r="G13" i="2"/>
  <c r="H13" i="2"/>
  <c r="H37" i="6"/>
  <c r="G5" i="6"/>
  <c r="G5" i="2"/>
  <c r="J47" i="6"/>
  <c r="J46" i="6"/>
  <c r="L16" i="2"/>
  <c r="L318" i="4"/>
  <c r="K12" i="2"/>
  <c r="K50" i="4"/>
  <c r="K52" i="4" s="1"/>
  <c r="K35" i="4"/>
  <c r="K24" i="2" s="1"/>
  <c r="H41" i="7"/>
  <c r="G41" i="7"/>
  <c r="N30" i="7"/>
  <c r="L243" i="4"/>
  <c r="F37" i="6"/>
  <c r="F46" i="6" s="1"/>
  <c r="F13" i="2"/>
  <c r="F321" i="4"/>
  <c r="F284" i="4"/>
  <c r="J63" i="7"/>
  <c r="K63" i="7" s="1"/>
  <c r="F63" i="7"/>
  <c r="M143" i="4"/>
  <c r="N99" i="4"/>
  <c r="O273" i="4"/>
  <c r="O275" i="4" s="1"/>
  <c r="O99" i="4" s="1"/>
  <c r="O64" i="4"/>
  <c r="M319" i="4"/>
  <c r="M53" i="4"/>
  <c r="K67" i="4"/>
  <c r="K173" i="4" s="1"/>
  <c r="K285" i="4"/>
  <c r="O148" i="4"/>
  <c r="O204" i="4" s="1"/>
  <c r="N93" i="4"/>
  <c r="N17" i="2" s="1"/>
  <c r="O138" i="4"/>
  <c r="N254" i="4"/>
  <c r="N95" i="4" s="1"/>
  <c r="N56" i="4" s="1"/>
  <c r="N158" i="4"/>
  <c r="N159" i="4" s="1"/>
  <c r="N192" i="4" s="1"/>
  <c r="N10" i="4" s="1"/>
  <c r="N140" i="4"/>
  <c r="N141" i="4" s="1"/>
  <c r="N163" i="4"/>
  <c r="H38" i="4"/>
  <c r="H26" i="2" s="1"/>
  <c r="H37" i="4"/>
  <c r="H25" i="2" s="1"/>
  <c r="H284" i="4"/>
  <c r="H321" i="4"/>
  <c r="I284" i="4"/>
  <c r="I321" i="4"/>
  <c r="I38" i="4"/>
  <c r="I26" i="2" s="1"/>
  <c r="I37" i="4"/>
  <c r="I25" i="2" s="1"/>
  <c r="G312" i="4"/>
  <c r="G269" i="4"/>
  <c r="G215" i="4"/>
  <c r="G291" i="4"/>
  <c r="G185" i="4"/>
  <c r="G133" i="4"/>
  <c r="G44" i="4"/>
  <c r="G153" i="4"/>
  <c r="G259" i="4"/>
  <c r="G248" i="4"/>
  <c r="G80" i="4"/>
  <c r="G232" i="4"/>
  <c r="G110" i="4"/>
  <c r="F5" i="4"/>
  <c r="H75" i="4"/>
  <c r="H326" i="4" s="1" a="1"/>
  <c r="H326" i="4" s="1"/>
  <c r="H193" i="4"/>
  <c r="H51" i="3" s="1"/>
  <c r="M21" i="4"/>
  <c r="M23" i="4" s="1"/>
  <c r="M227" i="4"/>
  <c r="N224" i="4"/>
  <c r="G284" i="4"/>
  <c r="G321" i="4"/>
  <c r="G38" i="4"/>
  <c r="G37" i="4"/>
  <c r="G25" i="2" s="1"/>
  <c r="N171" i="4"/>
  <c r="M86" i="4"/>
  <c r="M54" i="4" s="1"/>
  <c r="M165" i="4"/>
  <c r="M174" i="4" s="1"/>
  <c r="M84" i="4"/>
  <c r="O226" i="4"/>
  <c r="O22" i="4" s="1"/>
  <c r="N22" i="4"/>
  <c r="N116" i="4" l="1"/>
  <c r="N196" i="4" s="1"/>
  <c r="N12" i="4" s="1"/>
  <c r="N128" i="4"/>
  <c r="N26" i="4" s="1"/>
  <c r="N12" i="2" s="1"/>
  <c r="N190" i="4"/>
  <c r="N9" i="4" s="1"/>
  <c r="M124" i="4"/>
  <c r="H63" i="7"/>
  <c r="G63" i="7"/>
  <c r="F71" i="7"/>
  <c r="G326" i="4" a="1"/>
  <c r="G326" i="4" s="1"/>
  <c r="G26" i="2"/>
  <c r="F5" i="6"/>
  <c r="F5" i="2"/>
  <c r="E64" i="7"/>
  <c r="F41" i="7"/>
  <c r="E103" i="7"/>
  <c r="F103" i="7" s="1"/>
  <c r="E97" i="7"/>
  <c r="F97" i="7" s="1"/>
  <c r="E98" i="7"/>
  <c r="F98" i="7" s="1"/>
  <c r="E100" i="7"/>
  <c r="F100" i="7" s="1"/>
  <c r="E102" i="7"/>
  <c r="F102" i="7" s="1"/>
  <c r="E99" i="7"/>
  <c r="F99" i="7" s="1"/>
  <c r="E101" i="7"/>
  <c r="F101" i="7" s="1"/>
  <c r="G47" i="6"/>
  <c r="G46" i="6"/>
  <c r="I47" i="6"/>
  <c r="I46" i="6"/>
  <c r="N19" i="1"/>
  <c r="M16" i="2"/>
  <c r="M318" i="4"/>
  <c r="N252" i="4"/>
  <c r="N89" i="4" s="1"/>
  <c r="N55" i="4" s="1"/>
  <c r="N121" i="4"/>
  <c r="O115" i="4"/>
  <c r="O143" i="4" s="1"/>
  <c r="N87" i="4"/>
  <c r="H47" i="6"/>
  <c r="H46" i="6"/>
  <c r="M240" i="4"/>
  <c r="L88" i="4"/>
  <c r="M196" i="4"/>
  <c r="M12" i="4" s="1"/>
  <c r="M128" i="4"/>
  <c r="M26" i="4" s="1"/>
  <c r="M190" i="4"/>
  <c r="M9" i="4" s="1"/>
  <c r="H316" i="4"/>
  <c r="I73" i="4"/>
  <c r="F259" i="4"/>
  <c r="F153" i="4"/>
  <c r="F312" i="4"/>
  <c r="F215" i="4"/>
  <c r="F185" i="4"/>
  <c r="F133" i="4"/>
  <c r="F110" i="4"/>
  <c r="F80" i="4"/>
  <c r="F232" i="4"/>
  <c r="F291" i="4"/>
  <c r="F269" i="4"/>
  <c r="F248" i="4"/>
  <c r="F44" i="4"/>
  <c r="N50" i="4"/>
  <c r="N35" i="4"/>
  <c r="N24" i="2" s="1"/>
  <c r="O224" i="4"/>
  <c r="N21" i="4"/>
  <c r="N23" i="4" s="1"/>
  <c r="N227" i="4"/>
  <c r="O254" i="4"/>
  <c r="O95" i="4" s="1"/>
  <c r="O56" i="4" s="1"/>
  <c r="O158" i="4"/>
  <c r="O86" i="4" s="1"/>
  <c r="O140" i="4"/>
  <c r="O141" i="4" s="1"/>
  <c r="O163" i="4"/>
  <c r="O93" i="4"/>
  <c r="O17" i="2" s="1"/>
  <c r="N319" i="4"/>
  <c r="N53" i="4"/>
  <c r="O142" i="4"/>
  <c r="O202" i="4" s="1"/>
  <c r="O171" i="4"/>
  <c r="N165" i="4"/>
  <c r="N174" i="4" s="1"/>
  <c r="N84" i="4"/>
  <c r="N86" i="4"/>
  <c r="N54" i="4" s="1"/>
  <c r="N52" i="4" l="1"/>
  <c r="N16" i="2"/>
  <c r="N318" i="4"/>
  <c r="M12" i="2"/>
  <c r="M35" i="4"/>
  <c r="M24" i="2" s="1"/>
  <c r="M50" i="4"/>
  <c r="M52" i="4" s="1"/>
  <c r="O116" i="4"/>
  <c r="O252" i="4"/>
  <c r="O89" i="4" s="1"/>
  <c r="O55" i="4" s="1"/>
  <c r="O87" i="4"/>
  <c r="O121" i="4"/>
  <c r="J64" i="7"/>
  <c r="K64" i="7" s="1"/>
  <c r="F64" i="7"/>
  <c r="N122" i="4"/>
  <c r="N123" i="4" s="1"/>
  <c r="N29" i="2" s="1"/>
  <c r="M242" i="4"/>
  <c r="M49" i="4" s="1"/>
  <c r="O54" i="4"/>
  <c r="O159" i="4"/>
  <c r="O192" i="4" s="1"/>
  <c r="O10" i="4" s="1"/>
  <c r="F326" i="4" a="1"/>
  <c r="F326" i="4" s="1"/>
  <c r="O165" i="4"/>
  <c r="O174" i="4" s="1"/>
  <c r="O84" i="4"/>
  <c r="I75" i="4"/>
  <c r="I193" i="4"/>
  <c r="O21" i="4"/>
  <c r="O23" i="4" s="1"/>
  <c r="O227" i="4"/>
  <c r="O319" i="4"/>
  <c r="N17" i="1" s="1"/>
  <c r="O53" i="4"/>
  <c r="M243" i="4" l="1"/>
  <c r="N240" i="4"/>
  <c r="N242" i="4" s="1"/>
  <c r="N49" i="4" s="1"/>
  <c r="M88" i="4"/>
  <c r="O128" i="4"/>
  <c r="O26" i="4" s="1"/>
  <c r="O196" i="4"/>
  <c r="O12" i="4" s="1"/>
  <c r="O190" i="4"/>
  <c r="O9" i="4" s="1"/>
  <c r="I326" i="4" a="1"/>
  <c r="I326" i="4" s="1"/>
  <c r="I51" i="3"/>
  <c r="O16" i="2"/>
  <c r="O318" i="4"/>
  <c r="N16" i="1" s="1"/>
  <c r="N124" i="4"/>
  <c r="H64" i="7"/>
  <c r="G64" i="7"/>
  <c r="F72" i="7"/>
  <c r="F75" i="7"/>
  <c r="F77" i="7" s="1"/>
  <c r="F74" i="7"/>
  <c r="F73" i="7"/>
  <c r="F109" i="7"/>
  <c r="O122" i="4"/>
  <c r="O123" i="4" s="1"/>
  <c r="O29" i="2" s="1"/>
  <c r="O124" i="4"/>
  <c r="J73" i="4"/>
  <c r="I316" i="4"/>
  <c r="N243" i="4"/>
  <c r="O12" i="2" l="1"/>
  <c r="O50" i="4"/>
  <c r="O52" i="4" s="1"/>
  <c r="O35" i="4"/>
  <c r="O24" i="2" s="1"/>
  <c r="O240" i="4"/>
  <c r="N88" i="4"/>
  <c r="J75" i="4"/>
  <c r="J326" i="4" s="1" a="1"/>
  <c r="J326" i="4" s="1"/>
  <c r="J193" i="4"/>
  <c r="J51" i="3" s="1"/>
  <c r="J316" i="4" l="1"/>
  <c r="K168" i="4"/>
  <c r="K73" i="4"/>
  <c r="O242" i="4"/>
  <c r="O49" i="4" s="1"/>
  <c r="O243" i="4" l="1"/>
  <c r="O88" i="4" s="1"/>
  <c r="K194" i="4"/>
  <c r="K11" i="4" s="1"/>
  <c r="K13" i="4" l="1"/>
  <c r="K16" i="4" s="1"/>
  <c r="K9" i="2" s="1"/>
  <c r="K19" i="4" l="1"/>
  <c r="K24" i="4" l="1"/>
  <c r="K34" i="4"/>
  <c r="K23" i="2" s="1"/>
  <c r="K27" i="4" l="1"/>
  <c r="K11" i="2"/>
  <c r="K262" i="4"/>
  <c r="K264" i="4" s="1"/>
  <c r="K29" i="4" s="1"/>
  <c r="K30" i="4" s="1"/>
  <c r="F53" i="7" s="1"/>
  <c r="F57" i="7" s="1"/>
  <c r="K48" i="4"/>
  <c r="E66" i="7" l="1"/>
  <c r="G103" i="7"/>
  <c r="H103" i="7" s="1"/>
  <c r="G98" i="7"/>
  <c r="H98" i="7" s="1"/>
  <c r="G99" i="7"/>
  <c r="H99" i="7" s="1"/>
  <c r="G100" i="7"/>
  <c r="H100" i="7" s="1"/>
  <c r="G97" i="7"/>
  <c r="H97" i="7" s="1"/>
  <c r="G101" i="7"/>
  <c r="H101" i="7" s="1"/>
  <c r="G102" i="7"/>
  <c r="H102" i="7" s="1"/>
  <c r="K13" i="2"/>
  <c r="K37" i="6"/>
  <c r="K46" i="6" s="1"/>
  <c r="K284" i="4"/>
  <c r="K286" i="4" s="1"/>
  <c r="L278" i="4"/>
  <c r="L280" i="4" s="1"/>
  <c r="L38" i="6" s="1"/>
  <c r="L48" i="6" s="1"/>
  <c r="K36" i="4"/>
  <c r="K51" i="4"/>
  <c r="K57" i="4" s="1"/>
  <c r="K47" i="6" l="1"/>
  <c r="K52" i="6"/>
  <c r="K55" i="6" s="1"/>
  <c r="K58" i="6" s="1"/>
  <c r="K169" i="4"/>
  <c r="K175" i="4" s="1"/>
  <c r="K179" i="4" s="1"/>
  <c r="L285" i="4"/>
  <c r="L67" i="4"/>
  <c r="L173" i="4" s="1"/>
  <c r="L283" i="4"/>
  <c r="K100" i="4"/>
  <c r="K317" i="4" l="1"/>
  <c r="K101" i="4"/>
  <c r="F54" i="7" s="1"/>
  <c r="F58" i="7" s="1"/>
  <c r="K180" i="4"/>
  <c r="K65" i="4"/>
  <c r="K68" i="4" s="1"/>
  <c r="K74" i="4" s="1"/>
  <c r="K75" i="4" s="1"/>
  <c r="E65" i="7" l="1"/>
  <c r="G87" i="7"/>
  <c r="H87" i="7" s="1"/>
  <c r="G89" i="7"/>
  <c r="H89" i="7" s="1"/>
  <c r="G91" i="7"/>
  <c r="H91" i="7" s="1"/>
  <c r="G88" i="7"/>
  <c r="H88" i="7" s="1"/>
  <c r="G85" i="7"/>
  <c r="H85" i="7" s="1"/>
  <c r="G86" i="7"/>
  <c r="H86" i="7" s="1"/>
  <c r="G90" i="7"/>
  <c r="H90" i="7" s="1"/>
  <c r="K19" i="2"/>
  <c r="K40" i="6"/>
  <c r="K45" i="6" s="1"/>
  <c r="L168" i="4"/>
  <c r="L73" i="4"/>
  <c r="K85" i="4"/>
  <c r="L178" i="4"/>
  <c r="K94" i="4"/>
  <c r="K297" i="4"/>
  <c r="K299" i="4" s="1"/>
  <c r="K38" i="4"/>
  <c r="K26" i="2" s="1"/>
  <c r="L41" i="6" l="1"/>
  <c r="K42" i="6"/>
  <c r="K301" i="4"/>
  <c r="K320" i="4"/>
  <c r="K39" i="4"/>
  <c r="K96" i="4"/>
  <c r="K103" i="4" s="1"/>
  <c r="L206" i="4"/>
  <c r="L207" i="4" s="1"/>
  <c r="L15" i="4" s="1"/>
  <c r="K324" i="4"/>
  <c r="K209" i="4"/>
  <c r="K90" i="4"/>
  <c r="K18" i="2" s="1"/>
  <c r="L194" i="4"/>
  <c r="L11" i="4" s="1"/>
  <c r="K316" i="4"/>
  <c r="L51" i="6" l="1"/>
  <c r="L54" i="6" s="1"/>
  <c r="K105" i="4"/>
  <c r="K315" i="4" s="1"/>
  <c r="L13" i="4"/>
  <c r="L16" i="4" s="1"/>
  <c r="L9" i="2" s="1"/>
  <c r="K294" i="4"/>
  <c r="K296" i="4" s="1"/>
  <c r="K302" i="4" s="1"/>
  <c r="K30" i="2" s="1"/>
  <c r="K37" i="4"/>
  <c r="K25" i="2" s="1"/>
  <c r="K210" i="4"/>
  <c r="K33" i="4" s="1"/>
  <c r="K22" i="2" s="1"/>
  <c r="K325" i="4" l="1" a="1"/>
  <c r="K325" i="4" s="1"/>
  <c r="K306" i="4"/>
  <c r="L19" i="4"/>
  <c r="K303" i="4"/>
  <c r="K307" i="4" l="1"/>
  <c r="K326" i="4" s="1" a="1"/>
  <c r="K326" i="4" s="1"/>
  <c r="K31" i="2"/>
  <c r="L24" i="4"/>
  <c r="L11" i="2" s="1"/>
  <c r="L34" i="4"/>
  <c r="L23" i="2" s="1"/>
  <c r="K323" i="4"/>
  <c r="L27" i="4" l="1"/>
  <c r="L262" i="4" l="1"/>
  <c r="L264" i="4" s="1"/>
  <c r="L29" i="4" s="1"/>
  <c r="L30" i="4" s="1"/>
  <c r="L48" i="4"/>
  <c r="L13" i="2" l="1"/>
  <c r="L37" i="6"/>
  <c r="L46" i="6" s="1"/>
  <c r="M278" i="4"/>
  <c r="M280" i="4" s="1"/>
  <c r="M38" i="6" s="1"/>
  <c r="M48" i="6" s="1"/>
  <c r="L284" i="4"/>
  <c r="L286" i="4" s="1"/>
  <c r="L51" i="4"/>
  <c r="L57" i="4" s="1"/>
  <c r="L36" i="4"/>
  <c r="L47" i="6" l="1"/>
  <c r="L52" i="6"/>
  <c r="L55" i="6" s="1"/>
  <c r="L58" i="6" s="1"/>
  <c r="L169" i="4"/>
  <c r="L175" i="4" s="1"/>
  <c r="L179" i="4" s="1"/>
  <c r="M283" i="4"/>
  <c r="L100" i="4"/>
  <c r="M285" i="4"/>
  <c r="M67" i="4"/>
  <c r="M173" i="4" s="1"/>
  <c r="L317" i="4" l="1"/>
  <c r="L101" i="4"/>
  <c r="L65" i="4"/>
  <c r="L68" i="4" s="1"/>
  <c r="L74" i="4" s="1"/>
  <c r="L75" i="4" s="1"/>
  <c r="L180" i="4"/>
  <c r="L19" i="2" l="1"/>
  <c r="L40" i="6"/>
  <c r="L45" i="6" s="1"/>
  <c r="M178" i="4"/>
  <c r="L94" i="4"/>
  <c r="L85" i="4"/>
  <c r="M168" i="4"/>
  <c r="M73" i="4"/>
  <c r="L297" i="4"/>
  <c r="L299" i="4" s="1"/>
  <c r="L38" i="4"/>
  <c r="L26" i="2" s="1"/>
  <c r="M41" i="6" l="1"/>
  <c r="L42" i="6"/>
  <c r="L301" i="4"/>
  <c r="M194" i="4"/>
  <c r="M11" i="4" s="1"/>
  <c r="L324" i="4"/>
  <c r="L90" i="4"/>
  <c r="L18" i="2" s="1"/>
  <c r="L209" i="4"/>
  <c r="L316" i="4"/>
  <c r="L320" i="4"/>
  <c r="L96" i="4"/>
  <c r="L103" i="4" s="1"/>
  <c r="L39" i="4"/>
  <c r="M206" i="4"/>
  <c r="M207" i="4" s="1"/>
  <c r="M15" i="4" s="1"/>
  <c r="M51" i="6" l="1"/>
  <c r="M54" i="6" s="1"/>
  <c r="L210" i="4"/>
  <c r="L33" i="4" s="1"/>
  <c r="L294" i="4"/>
  <c r="L296" i="4" s="1"/>
  <c r="L302" i="4" s="1"/>
  <c r="L30" i="2" s="1"/>
  <c r="L37" i="4"/>
  <c r="L25" i="2" s="1"/>
  <c r="M13" i="4"/>
  <c r="M16" i="4" s="1"/>
  <c r="M9" i="2" s="1"/>
  <c r="L105" i="4"/>
  <c r="L315" i="4" s="1"/>
  <c r="L325" i="4" l="1" a="1"/>
  <c r="L325" i="4" s="1"/>
  <c r="L22" i="2"/>
  <c r="M19" i="4"/>
  <c r="L306" i="4"/>
  <c r="L303" i="4"/>
  <c r="L307" i="4" l="1"/>
  <c r="L326" i="4" s="1" a="1"/>
  <c r="L326" i="4" s="1"/>
  <c r="L31" i="2"/>
  <c r="L323" i="4"/>
  <c r="M24" i="4"/>
  <c r="M11" i="2" s="1"/>
  <c r="M34" i="4"/>
  <c r="M23" i="2" s="1"/>
  <c r="M27" i="4" l="1"/>
  <c r="M262" i="4" l="1"/>
  <c r="M264" i="4" s="1"/>
  <c r="M29" i="4" s="1"/>
  <c r="M30" i="4" s="1"/>
  <c r="M48" i="4"/>
  <c r="M13" i="2" l="1"/>
  <c r="M37" i="6"/>
  <c r="M46" i="6" s="1"/>
  <c r="M284" i="4"/>
  <c r="M286" i="4" s="1"/>
  <c r="N278" i="4"/>
  <c r="N280" i="4" s="1"/>
  <c r="N38" i="6" s="1"/>
  <c r="N48" i="6" s="1"/>
  <c r="M36" i="4"/>
  <c r="M51" i="4"/>
  <c r="M57" i="4" s="1"/>
  <c r="M47" i="6" l="1"/>
  <c r="M52" i="6"/>
  <c r="M55" i="6" s="1"/>
  <c r="M58" i="6" s="1"/>
  <c r="M169" i="4"/>
  <c r="M175" i="4" s="1"/>
  <c r="M179" i="4" s="1"/>
  <c r="N285" i="4"/>
  <c r="N67" i="4"/>
  <c r="N173" i="4" s="1"/>
  <c r="N283" i="4"/>
  <c r="M100" i="4"/>
  <c r="M317" i="4" l="1"/>
  <c r="M101" i="4"/>
  <c r="M65" i="4"/>
  <c r="M68" i="4" s="1"/>
  <c r="M74" i="4" s="1"/>
  <c r="M75" i="4" s="1"/>
  <c r="M180" i="4"/>
  <c r="M19" i="2" l="1"/>
  <c r="M40" i="6"/>
  <c r="M45" i="6" s="1"/>
  <c r="N178" i="4"/>
  <c r="M94" i="4"/>
  <c r="N168" i="4"/>
  <c r="M85" i="4"/>
  <c r="N73" i="4"/>
  <c r="M297" i="4"/>
  <c r="M299" i="4" s="1"/>
  <c r="M38" i="4"/>
  <c r="M26" i="2" s="1"/>
  <c r="N41" i="6" l="1"/>
  <c r="M42" i="6"/>
  <c r="M301" i="4"/>
  <c r="N194" i="4"/>
  <c r="N11" i="4" s="1"/>
  <c r="M324" i="4"/>
  <c r="M90" i="4"/>
  <c r="M18" i="2" s="1"/>
  <c r="M209" i="4"/>
  <c r="M316" i="4"/>
  <c r="M320" i="4"/>
  <c r="M96" i="4"/>
  <c r="M103" i="4" s="1"/>
  <c r="M39" i="4"/>
  <c r="N206" i="4"/>
  <c r="N207" i="4" s="1"/>
  <c r="N15" i="4" s="1"/>
  <c r="N51" i="6" l="1"/>
  <c r="N54" i="6" s="1"/>
  <c r="N13" i="4"/>
  <c r="N16" i="4" s="1"/>
  <c r="N9" i="2" s="1"/>
  <c r="M210" i="4"/>
  <c r="M33" i="4" s="1"/>
  <c r="M22" i="2" s="1"/>
  <c r="M294" i="4"/>
  <c r="M296" i="4" s="1"/>
  <c r="M302" i="4" s="1"/>
  <c r="M30" i="2" s="1"/>
  <c r="M37" i="4"/>
  <c r="M25" i="2" s="1"/>
  <c r="M105" i="4"/>
  <c r="M306" i="4" l="1"/>
  <c r="M303" i="4"/>
  <c r="N19" i="4"/>
  <c r="M315" i="4"/>
  <c r="M325" i="4" a="1"/>
  <c r="M325" i="4" s="1"/>
  <c r="M307" i="4" l="1"/>
  <c r="M326" i="4" s="1" a="1"/>
  <c r="M326" i="4" s="1"/>
  <c r="M31" i="2"/>
  <c r="N24" i="4"/>
  <c r="N34" i="4"/>
  <c r="N23" i="2" s="1"/>
  <c r="M323" i="4"/>
  <c r="N27" i="4" l="1"/>
  <c r="N11" i="2"/>
  <c r="N262" i="4"/>
  <c r="N264" i="4" s="1"/>
  <c r="N29" i="4" s="1"/>
  <c r="N30" i="4" s="1"/>
  <c r="N48" i="4"/>
  <c r="N13" i="2" l="1"/>
  <c r="N37" i="6"/>
  <c r="N46" i="6" s="1"/>
  <c r="O278" i="4"/>
  <c r="O280" i="4" s="1"/>
  <c r="O38" i="6" s="1"/>
  <c r="O48" i="6" s="1"/>
  <c r="N284" i="4"/>
  <c r="N286" i="4" s="1"/>
  <c r="N51" i="4"/>
  <c r="N57" i="4" s="1"/>
  <c r="N36" i="4"/>
  <c r="N52" i="6" l="1"/>
  <c r="N55" i="6" s="1"/>
  <c r="N58" i="6" s="1"/>
  <c r="N47" i="6"/>
  <c r="N169" i="4"/>
  <c r="N175" i="4" s="1"/>
  <c r="N179" i="4" s="1"/>
  <c r="O283" i="4"/>
  <c r="N100" i="4"/>
  <c r="O285" i="4"/>
  <c r="O67" i="4"/>
  <c r="O173" i="4" s="1"/>
  <c r="N317" i="4" l="1"/>
  <c r="N101" i="4"/>
  <c r="N65" i="4"/>
  <c r="N68" i="4" s="1"/>
  <c r="N74" i="4" s="1"/>
  <c r="N75" i="4" s="1"/>
  <c r="N180" i="4"/>
  <c r="N19" i="2" l="1"/>
  <c r="N40" i="6"/>
  <c r="N45" i="6" s="1"/>
  <c r="O178" i="4"/>
  <c r="N94" i="4"/>
  <c r="O168" i="4"/>
  <c r="N85" i="4"/>
  <c r="O73" i="4"/>
  <c r="N297" i="4"/>
  <c r="N299" i="4" s="1"/>
  <c r="N38" i="4"/>
  <c r="N26" i="2" s="1"/>
  <c r="O41" i="6" l="1"/>
  <c r="N42" i="6"/>
  <c r="N301" i="4"/>
  <c r="O194" i="4"/>
  <c r="O11" i="4" s="1"/>
  <c r="N324" i="4"/>
  <c r="N209" i="4"/>
  <c r="N90" i="4"/>
  <c r="N18" i="2" s="1"/>
  <c r="N316" i="4"/>
  <c r="N320" i="4"/>
  <c r="N96" i="4"/>
  <c r="N103" i="4" s="1"/>
  <c r="N39" i="4"/>
  <c r="O206" i="4"/>
  <c r="O207" i="4" s="1"/>
  <c r="O15" i="4" s="1"/>
  <c r="O51" i="6" l="1"/>
  <c r="O54" i="6" s="1"/>
  <c r="N105" i="4"/>
  <c r="N315" i="4" s="1"/>
  <c r="N294" i="4"/>
  <c r="N296" i="4" s="1"/>
  <c r="N302" i="4" s="1"/>
  <c r="N30" i="2" s="1"/>
  <c r="N37" i="4"/>
  <c r="N25" i="2" s="1"/>
  <c r="N210" i="4"/>
  <c r="N33" i="4" s="1"/>
  <c r="N22" i="2" s="1"/>
  <c r="O13" i="4"/>
  <c r="O16" i="4" s="1"/>
  <c r="O9" i="2" s="1"/>
  <c r="O19" i="4" l="1"/>
  <c r="N325" i="4" a="1"/>
  <c r="N325" i="4" s="1"/>
  <c r="N306" i="4"/>
  <c r="N303" i="4"/>
  <c r="N307" i="4" l="1"/>
  <c r="N31" i="2"/>
  <c r="N323" i="4"/>
  <c r="N326" i="4" a="1"/>
  <c r="N326" i="4" s="1"/>
  <c r="O24" i="4"/>
  <c r="O34" i="4"/>
  <c r="O23" i="2" s="1"/>
  <c r="O27" i="4" l="1"/>
  <c r="O11" i="2"/>
  <c r="O48" i="4"/>
  <c r="O262" i="4"/>
  <c r="O264" i="4" s="1"/>
  <c r="O29" i="4" s="1"/>
  <c r="O51" i="4" l="1"/>
  <c r="O57" i="4" s="1"/>
  <c r="O36" i="4"/>
  <c r="O30" i="4"/>
  <c r="O13" i="2" l="1"/>
  <c r="O37" i="6"/>
  <c r="O46" i="6" s="1"/>
  <c r="O169" i="4"/>
  <c r="O175" i="4" s="1"/>
  <c r="O179" i="4" s="1"/>
  <c r="O284" i="4"/>
  <c r="O286" i="4" s="1"/>
  <c r="O100" i="4" s="1"/>
  <c r="O47" i="6" l="1"/>
  <c r="F32" i="6" s="1"/>
  <c r="O52" i="6"/>
  <c r="O55" i="6" s="1"/>
  <c r="O58" i="6" s="1"/>
  <c r="F69" i="6" s="1"/>
  <c r="O317" i="4"/>
  <c r="N15" i="1" s="1"/>
  <c r="O101" i="4"/>
  <c r="O65" i="4"/>
  <c r="O68" i="4" s="1"/>
  <c r="O74" i="4" s="1"/>
  <c r="O75" i="4" s="1"/>
  <c r="O180" i="4"/>
  <c r="O94" i="4" s="1"/>
  <c r="O19" i="2" l="1"/>
  <c r="O40" i="6"/>
  <c r="O45" i="6" s="1"/>
  <c r="L102" i="6"/>
  <c r="K102" i="6"/>
  <c r="J102" i="6"/>
  <c r="I102" i="6"/>
  <c r="H102" i="6"/>
  <c r="F62" i="6"/>
  <c r="O320" i="4"/>
  <c r="N18" i="1" s="1"/>
  <c r="O96" i="4"/>
  <c r="O103" i="4" s="1"/>
  <c r="O39" i="4"/>
  <c r="O85" i="4"/>
  <c r="O316" i="4" s="1"/>
  <c r="N14" i="1" s="1"/>
  <c r="O297" i="4"/>
  <c r="O299" i="4" s="1"/>
  <c r="O38" i="4"/>
  <c r="O26" i="2" s="1"/>
  <c r="L106" i="6" l="1" a="1"/>
  <c r="L106" i="6" s="1"/>
  <c r="L105" i="6" a="1"/>
  <c r="L105" i="6" s="1"/>
  <c r="L103" i="6" a="1"/>
  <c r="L103" i="6" s="1"/>
  <c r="L107" i="6" a="1"/>
  <c r="L107" i="6" s="1"/>
  <c r="L104" i="6" a="1"/>
  <c r="L104" i="6" s="1"/>
  <c r="K107" i="6" a="1"/>
  <c r="K107" i="6" s="1"/>
  <c r="K103" i="6" a="1"/>
  <c r="K103" i="6" s="1"/>
  <c r="K106" i="6" a="1"/>
  <c r="K106" i="6" s="1"/>
  <c r="K105" i="6" a="1"/>
  <c r="K105" i="6" s="1"/>
  <c r="K104" i="6" a="1"/>
  <c r="K104" i="6" s="1"/>
  <c r="H104" i="6" a="1"/>
  <c r="H104" i="6" s="1"/>
  <c r="H103" i="6" a="1"/>
  <c r="H103" i="6" s="1"/>
  <c r="H106" i="6" a="1"/>
  <c r="H106" i="6" s="1"/>
  <c r="H107" i="6" a="1"/>
  <c r="H107" i="6" s="1"/>
  <c r="H105" i="6" a="1"/>
  <c r="H105" i="6" s="1"/>
  <c r="I103" i="6" a="1"/>
  <c r="I103" i="6" s="1"/>
  <c r="I105" i="6" a="1"/>
  <c r="I105" i="6" s="1"/>
  <c r="I107" i="6" a="1"/>
  <c r="I107" i="6" s="1"/>
  <c r="I106" i="6" a="1"/>
  <c r="I106" i="6" s="1"/>
  <c r="I104" i="6" a="1"/>
  <c r="I104" i="6" s="1"/>
  <c r="J104" i="6" a="1"/>
  <c r="J104" i="6" s="1"/>
  <c r="J105" i="6" a="1"/>
  <c r="J105" i="6" s="1"/>
  <c r="J106" i="6" a="1"/>
  <c r="J106" i="6" s="1"/>
  <c r="J107" i="6" a="1"/>
  <c r="J107" i="6" s="1"/>
  <c r="J103" i="6" a="1"/>
  <c r="J103" i="6" s="1"/>
  <c r="F61" i="6"/>
  <c r="I96" i="6" a="1"/>
  <c r="I96" i="6" s="1"/>
  <c r="L96" i="6" a="1"/>
  <c r="L96" i="6" s="1"/>
  <c r="J94" i="6" a="1"/>
  <c r="J94" i="6" s="1"/>
  <c r="J96" i="6" a="1"/>
  <c r="J96" i="6" s="1"/>
  <c r="K94" i="6" a="1"/>
  <c r="K94" i="6" s="1"/>
  <c r="K95" i="6" a="1"/>
  <c r="K95" i="6" s="1"/>
  <c r="K96" i="6" a="1"/>
  <c r="K96" i="6" s="1"/>
  <c r="H95" i="6" a="1"/>
  <c r="H95" i="6" s="1"/>
  <c r="L94" i="6" a="1"/>
  <c r="L94" i="6" s="1"/>
  <c r="L93" i="6" a="1"/>
  <c r="L93" i="6" s="1"/>
  <c r="I94" i="6" a="1"/>
  <c r="I94" i="6" s="1"/>
  <c r="O42" i="6"/>
  <c r="I93" i="6" a="1"/>
  <c r="I93" i="6" s="1"/>
  <c r="H94" i="6" a="1"/>
  <c r="H94" i="6" s="1"/>
  <c r="H93" i="6" a="1"/>
  <c r="H93" i="6" s="1"/>
  <c r="J97" i="6" a="1"/>
  <c r="J97" i="6" s="1"/>
  <c r="L95" i="6" a="1"/>
  <c r="L95" i="6" s="1"/>
  <c r="J95" i="6" a="1"/>
  <c r="J95" i="6" s="1"/>
  <c r="L97" i="6" a="1"/>
  <c r="L97" i="6" s="1"/>
  <c r="K97" i="6" a="1"/>
  <c r="K97" i="6" s="1"/>
  <c r="H97" i="6" a="1"/>
  <c r="H97" i="6" s="1"/>
  <c r="I97" i="6" a="1"/>
  <c r="I97" i="6" s="1"/>
  <c r="J93" i="6" a="1"/>
  <c r="J93" i="6" s="1"/>
  <c r="K93" i="6" a="1"/>
  <c r="K93" i="6" s="1"/>
  <c r="H96" i="6" a="1"/>
  <c r="H96" i="6" s="1"/>
  <c r="I95" i="6" a="1"/>
  <c r="I95" i="6" s="1"/>
  <c r="F85" i="6"/>
  <c r="F63" i="6"/>
  <c r="F64" i="6" s="1"/>
  <c r="F65" i="6" s="1"/>
  <c r="F70" i="6" s="1"/>
  <c r="O301" i="4"/>
  <c r="O324" i="4"/>
  <c r="N22" i="1" s="1"/>
  <c r="O90" i="4"/>
  <c r="O18" i="2" s="1"/>
  <c r="O209" i="4"/>
  <c r="O210" i="4" s="1"/>
  <c r="O33" i="4" s="1"/>
  <c r="O22" i="2" s="1"/>
  <c r="F71" i="6" l="1"/>
  <c r="F73" i="6" s="1"/>
  <c r="F75" i="6" s="1"/>
  <c r="F77" i="6" s="1"/>
  <c r="O105" i="4"/>
  <c r="O315" i="4" s="1"/>
  <c r="N13" i="1" s="1"/>
  <c r="O294" i="4"/>
  <c r="O296" i="4" s="1"/>
  <c r="O302" i="4" s="1"/>
  <c r="O30" i="2" s="1"/>
  <c r="O37" i="4"/>
  <c r="O25" i="2" s="1"/>
  <c r="F98" i="6" l="1"/>
  <c r="F79" i="6"/>
  <c r="O325" i="4" a="1"/>
  <c r="O325" i="4" s="1"/>
  <c r="N23" i="1" s="1"/>
  <c r="F83" i="6"/>
  <c r="F78" i="7"/>
  <c r="F79" i="7" s="1"/>
  <c r="F111" i="7" s="1" a="1"/>
  <c r="F111" i="7" s="1"/>
  <c r="F112" i="7" s="1"/>
  <c r="N27" i="1" s="1"/>
  <c r="F108" i="6"/>
  <c r="O303" i="4"/>
  <c r="O307" i="4" s="1"/>
  <c r="F86" i="6"/>
  <c r="O306" i="4"/>
  <c r="F110" i="6" l="1" a="1"/>
  <c r="F110" i="6" s="1"/>
  <c r="N25" i="1" s="1"/>
  <c r="O323" i="4"/>
  <c r="N21" i="1" s="1"/>
  <c r="O31" i="2"/>
  <c r="O326" i="4" a="1"/>
  <c r="O326" i="4" s="1"/>
  <c r="F328" i="4" s="1"/>
  <c r="N24" i="1" l="1"/>
  <c r="N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<sst xmlns="http://schemas.openxmlformats.org/spreadsheetml/2006/main" count="777" uniqueCount="622">
  <si>
    <t>Historical Financials (Reported, Standalone)</t>
  </si>
  <si>
    <t>All figures in INR crore unless stated (reported in INR lakh; converted ÷100)</t>
  </si>
  <si>
    <t>Fiscal year ending 31 March. Blue = reported figures from official filings (see cell notes). Black = check formulas.</t>
  </si>
  <si>
    <t>INCOME STATEMENT (RBI SCHEDULE FORMAT)</t>
  </si>
  <si>
    <t>BALANCE SHEET</t>
  </si>
  <si>
    <t>CASH FLOW STATEMENT (REPORTED SUBTOTALS)</t>
  </si>
  <si>
    <t>ASSET QUALITY, FUNDING &amp; CAPITAL</t>
  </si>
  <si>
    <t>Interest / Discount on Advances &amp; Bills</t>
  </si>
  <si>
    <t>Income on Investments</t>
  </si>
  <si>
    <t>Interest on Balances with RBI &amp; Inter-bank Funds</t>
  </si>
  <si>
    <t>Other Interest</t>
  </si>
  <si>
    <t>Total Interest Earned</t>
  </si>
  <si>
    <t>Other Income</t>
  </si>
  <si>
    <t>Interest Expended</t>
  </si>
  <si>
    <t>Employee Cost</t>
  </si>
  <si>
    <t>Other Operating Expenses</t>
  </si>
  <si>
    <t>Provisions (Other than Tax) &amp; Contingencies</t>
  </si>
  <si>
    <t>Tax Expense</t>
  </si>
  <si>
    <t>Net Profit (Calculated)</t>
  </si>
  <si>
    <t>Net Profit (Reported)</t>
  </si>
  <si>
    <t>Check</t>
  </si>
  <si>
    <t>Capital</t>
  </si>
  <si>
    <t>Employees Stock Options Outstanding</t>
  </si>
  <si>
    <t>Reserves &amp; Surplus</t>
  </si>
  <si>
    <t>Deposits</t>
  </si>
  <si>
    <t>Borrowings</t>
  </si>
  <si>
    <t>Other Liabilities &amp; Provisions</t>
  </si>
  <si>
    <t>Total Capital &amp; Liabilities</t>
  </si>
  <si>
    <t>Cash &amp; Balances with RBI</t>
  </si>
  <si>
    <t>Balances with Banks &amp; Money at Call / Short Notice</t>
  </si>
  <si>
    <t>Investments</t>
  </si>
  <si>
    <t>Advances (Net)</t>
  </si>
  <si>
    <t>Fixed Assets</t>
  </si>
  <si>
    <t>Other Assets</t>
  </si>
  <si>
    <t>Total Assets</t>
  </si>
  <si>
    <t>Net Cash from Operating Activities</t>
  </si>
  <si>
    <t>Net Cash from Investing Activities</t>
  </si>
  <si>
    <t>Net Cash from Financing Activities</t>
  </si>
  <si>
    <t>Effect of FX Translation Reserve</t>
  </si>
  <si>
    <t>Cash Acquired on Amalgamation (IDFC Ltd)</t>
  </si>
  <si>
    <t>Net Change in Cash &amp; Cash Equivalents</t>
  </si>
  <si>
    <t>Cash &amp; Cash Equivalents – Beginning of Year</t>
  </si>
  <si>
    <t>Cash &amp; Cash Equivalents – End of Year (Reported)</t>
  </si>
  <si>
    <t>Depreciation on Fixed Assets</t>
  </si>
  <si>
    <t>Purchase of Fixed Assets</t>
  </si>
  <si>
    <t>Gross NPAs</t>
  </si>
  <si>
    <t>Net NPAs</t>
  </si>
  <si>
    <t>Gross NPA Ratio</t>
  </si>
  <si>
    <t>Net NPA Ratio</t>
  </si>
  <si>
    <t>Capital Adequacy Ratio (CRAR, Basel III)</t>
  </si>
  <si>
    <t>CASA Deposits</t>
  </si>
  <si>
    <t>CET1 Ratio</t>
  </si>
  <si>
    <t>Risk-Weighted Assets</t>
  </si>
  <si>
    <t>CET1 Capital</t>
  </si>
  <si>
    <t>Tier 2 Capital</t>
  </si>
  <si>
    <t>FY25: merger of IDFC Ltd into the Bank (effective 1-Oct-2024)</t>
  </si>
  <si>
    <t>Data gaps: CET1 ratio, RWA, CET1 capital and Tier 2 capital for FY22–FY24 were not extracted from an official source and are left blank (not estimated).</t>
  </si>
  <si>
    <t>Drivers</t>
  </si>
  <si>
    <t>All figures in INR crore unless stated</t>
  </si>
  <si>
    <t>Basis / source of assumption</t>
  </si>
  <si>
    <t>Driver Switch</t>
  </si>
  <si>
    <t>Advances Growth (YoY)</t>
  </si>
  <si>
    <t>Best Case</t>
  </si>
  <si>
    <t>Base Case</t>
  </si>
  <si>
    <t>Worst Case</t>
  </si>
  <si>
    <t>Mgmt guided ~20% loan growth for FY27 (Q4 FY26 call: back to ~5% QoQ); FY26 actual 20.3%. Gradual moderation as book scales.</t>
  </si>
  <si>
    <t>Deposit Growth (YoY)</t>
  </si>
  <si>
    <t>Deposits to grow slightly ahead of loans (mgmt: normalised deposit growth from Q1 FY27 after Q4 FY26 one-off); FY26 actual 16.8%, FY25 25.7%.</t>
  </si>
  <si>
    <t>Yield on Advances (Interest / Avg Net Advances)</t>
  </si>
  <si>
    <t>FY26 calculated 13.3%; mgmt cites book yield '13%+'. Mild compression from mix shift to secured / prime loans and lower policy rates.</t>
  </si>
  <si>
    <t>Credit Cost (Provisions / Avg Net Advances)</t>
  </si>
  <si>
    <t>FY26 reported credit cost 2.13% (calc. 2.09% on avg net advances). FY27 guidance 1.70–1.80% (Q4 FY26 call); later cut to 1.50–1.60% at Q1 FY27 (per call summaries – verify).</t>
  </si>
  <si>
    <t>Other Inputs</t>
  </si>
  <si>
    <t>BALANCE SHEET &amp; FUNDING</t>
  </si>
  <si>
    <t>CASA Ratio</t>
  </si>
  <si>
    <t>Mar-26 CASA ratio 49.8% (Investor Presentation Q4 FY26); avg CASA ratio 50.4% in Q4 FY26. Gradual improvement assumed.</t>
  </si>
  <si>
    <t>Borrowings Growth (Scheduled)</t>
  </si>
  <si>
    <t>Legacy high-cost borrowings largely repaid by FY26; refinance / Tier II growth resumes modestly (estimate).</t>
  </si>
  <si>
    <t>Investments / Deposits</t>
  </si>
  <si>
    <t>FY26 29.2%, FY25 32.0%. SLR (18% of NDTL) plus buffer for LCR.</t>
  </si>
  <si>
    <t>Cash &amp; Balances with RBI / Deposits</t>
  </si>
  <si>
    <t>FY26 3.85%, FY25 5.6%. CRR reduced to 3% of NDTL (RBI, 2025) plus operating cash.</t>
  </si>
  <si>
    <t>Minimum Bank Balances / Deposits</t>
  </si>
  <si>
    <t>FY26 0.48%, FY25 0.43%. Minimum liquidity buffer; shortfall is funded by the liquidity facility (CFI revolver logic).</t>
  </si>
  <si>
    <t>Other Assets / Net Advances</t>
  </si>
  <si>
    <t>FY26 6.5%, FY25 5.2%, FY24 6.0%.</t>
  </si>
  <si>
    <t>Other Liabilities &amp; Provisions / Deposits</t>
  </si>
  <si>
    <t>FY26 7.2%, FY25 5.8%.</t>
  </si>
  <si>
    <t>PRICING</t>
  </si>
  <si>
    <t>Yield on Investments</t>
  </si>
  <si>
    <t>FY26 calculated 7.14% on average investments; G-sec yields lower post 2025 rate cuts.</t>
  </si>
  <si>
    <t>Yield on Opening Cash &amp; Inter-bank Balances</t>
  </si>
  <si>
    <t>FY26 0.87% on opening cash (CRR balances earn no interest).</t>
  </si>
  <si>
    <t>Other Interest Income / Avg Net Advances</t>
  </si>
  <si>
    <t>FY26 0.10%.</t>
  </si>
  <si>
    <t>Cost of CASA Deposits</t>
  </si>
  <si>
    <t>ESTIMATE – not separately disclosed in sources used. SA rates cut by 50–200 bps in Q4 FY26 (Investor Presentation). Calibrated so FY27 cost of funds ≈ 5.9% vs 6.22% FY26 calc.</t>
  </si>
  <si>
    <t>Cost of Term Deposits</t>
  </si>
  <si>
    <t>ESTIMATE – calibrated to reported cost of funds 6.00% in Q4 FY26.</t>
  </si>
  <si>
    <t>Cost of Borrowings</t>
  </si>
  <si>
    <t>ESTIMATE – mix of refinance, Tier II and infra bonds.</t>
  </si>
  <si>
    <t>Liquidity Facility Spread over Borrowing Cost</t>
  </si>
  <si>
    <t>Penalty spread on short-term liquidity funding (charged on opening balance – avoids circularity).</t>
  </si>
  <si>
    <t>INCOME &amp; COSTS</t>
  </si>
  <si>
    <t>Other Income Growth</t>
  </si>
  <si>
    <t>FY26 +12.1% (incl. treasury loss); Q4 FY26 fee income +21% YoY (call). Fee growth tracks loan / card growth.</t>
  </si>
  <si>
    <t>Employee Cost Growth</t>
  </si>
  <si>
    <t>FY26 +8.3%, FY25 +16.7%. Branch / staff additions continue.</t>
  </si>
  <si>
    <t>Other Operating Expenses Growth</t>
  </si>
  <si>
    <t>FY26 +19.0% (incl. one-off fraud impact; ex-fraud opex growth 12.3% per call). Includes depreciation. Mgmt targets improving operating leverage.</t>
  </si>
  <si>
    <t>Capex Growth</t>
  </si>
  <si>
    <t>FY26 capex ₹764 cr (Cash Flow Statement).</t>
  </si>
  <si>
    <t>Depreciation (% of Opening Fixed Assets)</t>
  </si>
  <si>
    <t>FY26 31.7%, FY25 31.3% (depreciation / opening fixed assets).</t>
  </si>
  <si>
    <t>Tax Rate</t>
  </si>
  <si>
    <t>Statutory rate under s.115BAA: 22% + 10% surcharge + 4% cess = 25.17%. FY26 ETR 10.7% reflected a one-off tax refund.</t>
  </si>
  <si>
    <t>ASSET QUALITY</t>
  </si>
  <si>
    <t>Mar-26 1.61% (-26 bps YoY); continued gradual improvement.</t>
  </si>
  <si>
    <t>Provision Coverage Ratio</t>
  </si>
  <si>
    <t>Mar-26 70.5% (GNPA – NNPA) / GNPA, excl. technical write-offs.</t>
  </si>
  <si>
    <t>CAPITAL</t>
  </si>
  <si>
    <t>Dividend Payout (% of Prior-Year Net Profit)</t>
  </si>
  <si>
    <t>Equity Issuance (INR crore)</t>
  </si>
  <si>
    <t>Tier 2 Net Issuance / (Amortisation) (INR crore)</t>
  </si>
  <si>
    <t>Base: Tier 2 capital held flat at ₹6,186 cr (Mar-26).</t>
  </si>
  <si>
    <t>RWA Density (RWA / Total Assets)</t>
  </si>
  <si>
    <t>FY26 82.8%, FY25 80.4% (Investor Presentation Q4 FY26).</t>
  </si>
  <si>
    <t>Regulatory Deductions (% of Shareholders' Funds)</t>
  </si>
  <si>
    <t>FY26 4.1%, FY25 4.3% (1 – CET1 capital / shareholders' funds).</t>
  </si>
  <si>
    <t>Minimum CET1 Ratio (incl. CCB)</t>
  </si>
  <si>
    <t>RBI Basel III: 5.5% CET1 + 2.5% capital conservation buffer.</t>
  </si>
  <si>
    <t>Minimum CRAR (incl. CCB)</t>
  </si>
  <si>
    <t>RBI Basel III: 9.0% + 2.5% CCB.</t>
  </si>
  <si>
    <t>DATES</t>
  </si>
  <si>
    <t>First Year of Forecast (fiscal year ending 31 March)</t>
  </si>
  <si>
    <t>(YYYY)</t>
  </si>
  <si>
    <t>Colour key: blue = hard-coded input / reported data; black = formula; green = link from another sheet; grey italic in F:J = historical reference ratios calculated in Model.</t>
  </si>
  <si>
    <t>Income Statement</t>
  </si>
  <si>
    <t>INTEREST EARNED</t>
  </si>
  <si>
    <t>Interest / Discount on Advances</t>
  </si>
  <si>
    <t>Interest on RBI &amp; Inter-bank Balances</t>
  </si>
  <si>
    <t>Net Interest Income (NII)</t>
  </si>
  <si>
    <t>Other Income (Fees, Treasury &amp; Other)</t>
  </si>
  <si>
    <t>Total Net Income</t>
  </si>
  <si>
    <t>Other Operating Expenses (incl. Depreciation)</t>
  </si>
  <si>
    <t>Total Operating Expenses</t>
  </si>
  <si>
    <t>Operating Profit (PPOP)</t>
  </si>
  <si>
    <t>Profit Before Tax</t>
  </si>
  <si>
    <t>Net Profit (PAT)</t>
  </si>
  <si>
    <t>KEY RATIOS</t>
  </si>
  <si>
    <t>Net Interest Margin (NII / Avg Interest-Earning Assets)</t>
  </si>
  <si>
    <t>Cost-to-Income Ratio</t>
  </si>
  <si>
    <t>Effective Tax Rate</t>
  </si>
  <si>
    <t>Return on Average Assets (RoA)</t>
  </si>
  <si>
    <t>Return on Average Equity (RoE)</t>
  </si>
  <si>
    <t>Cost of Funds (Interest Expended / Avg Deposits &amp; Borrowings)</t>
  </si>
  <si>
    <t>Cash Flow Statement</t>
  </si>
  <si>
    <t>CASH FROM OPERATING ACTIVITIES</t>
  </si>
  <si>
    <t>Add: Depreciation</t>
  </si>
  <si>
    <t>Add: Provisions &amp; Contingencies (Non-cash)</t>
  </si>
  <si>
    <t>Less: Direct Taxes Paid</t>
  </si>
  <si>
    <t>(Increase) in Advances (Gross of Provisions)</t>
  </si>
  <si>
    <t>Increase in Deposits</t>
  </si>
  <si>
    <t>(Increase) in Investments</t>
  </si>
  <si>
    <t>(Increase) in Other Assets</t>
  </si>
  <si>
    <t>Increase in Other Liabilities &amp; Provisions</t>
  </si>
  <si>
    <t>CASH FROM INVESTING ACTIVITIES</t>
  </si>
  <si>
    <t>Purchase of Fixed Assets (Capex)</t>
  </si>
  <si>
    <t>CASH FROM FINANCING ACTIVITIES</t>
  </si>
  <si>
    <t>Change in Scheduled Borrowings</t>
  </si>
  <si>
    <t>Change in Liquidity Facility</t>
  </si>
  <si>
    <t>Equity Issuance</t>
  </si>
  <si>
    <t>Dividends Paid</t>
  </si>
  <si>
    <t>FX Translation / Cash Acquired on Amalgamation</t>
  </si>
  <si>
    <t>CASH &amp; CASH EQUIVALENTS</t>
  </si>
  <si>
    <t>Beginning of the Year</t>
  </si>
  <si>
    <t>Increase / (Decrease)</t>
  </si>
  <si>
    <t>End of the Year</t>
  </si>
  <si>
    <t>Balance Sheet</t>
  </si>
  <si>
    <t>ASSETS</t>
  </si>
  <si>
    <t>Balances with Banks &amp; Money at Call</t>
  </si>
  <si>
    <t>LIABILITIES</t>
  </si>
  <si>
    <t>Borrowings (Scheduled + Liquidity Facility)</t>
  </si>
  <si>
    <t>Total Liabilities</t>
  </si>
  <si>
    <t>SHAREHOLDERS' FUNDS</t>
  </si>
  <si>
    <t>Share Capital &amp; ESOP Outstanding (incl. New Issuance)</t>
  </si>
  <si>
    <t>Total Shareholders' Funds</t>
  </si>
  <si>
    <t>Total Liabilities &amp; Shareholders' Funds</t>
  </si>
  <si>
    <t>Advances &amp; Asset Quality Schedule</t>
  </si>
  <si>
    <t>ADVANCES</t>
  </si>
  <si>
    <t>Advances Growth</t>
  </si>
  <si>
    <t>Net Advances</t>
  </si>
  <si>
    <t>Average Net Advances</t>
  </si>
  <si>
    <t>Provision Coverage Ratio (excl. Technical Write-offs)</t>
  </si>
  <si>
    <t>Gross Advances (Net Advances + NPA Provisions, Memo)</t>
  </si>
  <si>
    <t>CREDIT COST</t>
  </si>
  <si>
    <t>Credit Cost (% of Avg Net Advances)</t>
  </si>
  <si>
    <t>Provisions &amp; Contingencies</t>
  </si>
  <si>
    <t>Deposits &amp; Borrowings Schedule</t>
  </si>
  <si>
    <t>DEPOSITS</t>
  </si>
  <si>
    <t>Deposit Growth</t>
  </si>
  <si>
    <t>Total Deposits</t>
  </si>
  <si>
    <t>Term Deposits</t>
  </si>
  <si>
    <t>Average Deposits</t>
  </si>
  <si>
    <t>Credit-Deposit Ratio (Net Advances / Deposits)</t>
  </si>
  <si>
    <t>SCHEDULED BORROWINGS</t>
  </si>
  <si>
    <t>Borrowings Growth</t>
  </si>
  <si>
    <t>Scheduled Borrowings</t>
  </si>
  <si>
    <t>Average Scheduled Borrowings</t>
  </si>
  <si>
    <t>Investments &amp; Liquidity Schedule</t>
  </si>
  <si>
    <t>INVESTMENTS</t>
  </si>
  <si>
    <t>Average Investments</t>
  </si>
  <si>
    <t>CASH RESERVES</t>
  </si>
  <si>
    <t>Minimum Total Cash Requirement</t>
  </si>
  <si>
    <t>AVAILABLE CASH</t>
  </si>
  <si>
    <t>Beginning Cash Balance</t>
  </si>
  <si>
    <t>Cash from Operations</t>
  </si>
  <si>
    <t>Cash from Investing</t>
  </si>
  <si>
    <t>Less: Minimum Total Cash Requirement</t>
  </si>
  <si>
    <t>Cash Available for Liquidity Facility</t>
  </si>
  <si>
    <t>LIQUIDITY FACILITY (Short-term Borrowings / Refinance)</t>
  </si>
  <si>
    <t>Beginning Balance</t>
  </si>
  <si>
    <t>Draw / (Repayment)</t>
  </si>
  <si>
    <t>Ending Balance</t>
  </si>
  <si>
    <t>Interest Income &amp; Expense Schedule</t>
  </si>
  <si>
    <t>INTEREST INCOME</t>
  </si>
  <si>
    <t>Yield on Advances (on Avg Net Advances)</t>
  </si>
  <si>
    <t>Yield on Investments (on Avg Investments)</t>
  </si>
  <si>
    <t>Other Interest / Avg Net Advances</t>
  </si>
  <si>
    <t>INTEREST EXPENSE</t>
  </si>
  <si>
    <t>Blended Cost of Deposits (CASA-weighted)</t>
  </si>
  <si>
    <t>Interest on Deposits (on Avg Deposits)</t>
  </si>
  <si>
    <t>Cost of Scheduled Borrowings</t>
  </si>
  <si>
    <t>Interest on Scheduled Borrowings (on Avg Balance)</t>
  </si>
  <si>
    <t>Liquidity Facility Rate</t>
  </si>
  <si>
    <t>Interest on Liquidity Facility (on Opening Balance)</t>
  </si>
  <si>
    <t>Total Interest Expended</t>
  </si>
  <si>
    <t>Interest-Earning Assets (Cash + Investments + Advances)</t>
  </si>
  <si>
    <t>Average Interest-Earning Assets</t>
  </si>
  <si>
    <t>Non-Interest Income &amp; Operating Expense Schedule</t>
  </si>
  <si>
    <t>OTHER INCOME</t>
  </si>
  <si>
    <t>OPERATING EXPENSES</t>
  </si>
  <si>
    <t>Fixed Asset Schedule</t>
  </si>
  <si>
    <t>Capital Expenditure</t>
  </si>
  <si>
    <t>FIXED ASSETS</t>
  </si>
  <si>
    <t>Beginning</t>
  </si>
  <si>
    <t>Add: Capital Expenditure</t>
  </si>
  <si>
    <t>Less: Depreciation</t>
  </si>
  <si>
    <t>Ending</t>
  </si>
  <si>
    <t>Other Assets &amp; Liabilities Schedule</t>
  </si>
  <si>
    <t>Income Tax Schedule</t>
  </si>
  <si>
    <t>Tax Rate (Effective / Assumed)</t>
  </si>
  <si>
    <t>Equity Schedule</t>
  </si>
  <si>
    <t>SHARE CAPITAL &amp; ESOP OUTSTANDING</t>
  </si>
  <si>
    <t>DIVIDENDS</t>
  </si>
  <si>
    <t>Prior-Year Net Profit</t>
  </si>
  <si>
    <t>Payout Ratio (on Prior-Year Net Profit)</t>
  </si>
  <si>
    <t>RESERVES &amp; SURPLUS (RETAINED EARNINGS)</t>
  </si>
  <si>
    <t>Add: Net Profit</t>
  </si>
  <si>
    <t>Less: Dividends Paid</t>
  </si>
  <si>
    <t>Regulatory Capital Schedule (Basel III)</t>
  </si>
  <si>
    <t>Shareholders' Funds</t>
  </si>
  <si>
    <t>Total Capital Funds</t>
  </si>
  <si>
    <t>CRAR (Total Capital / RWA)</t>
  </si>
  <si>
    <t>CET1 Headroom / (Shortfall)</t>
  </si>
  <si>
    <t>CRAR Headroom / (Shortfall)</t>
  </si>
  <si>
    <t>FY22–FY24 RWA / CET1 / Tier 2 not extracted from official sources – left blank (CRAR reported for all years).</t>
  </si>
  <si>
    <t>Model Checks</t>
  </si>
  <si>
    <t>1 = flag raised; 0 / – = OK</t>
  </si>
  <si>
    <t>Balance sheet does not balance</t>
  </si>
  <si>
    <t>Cash flow ending cash ≠ balance sheet cash</t>
  </si>
  <si>
    <t>Reserves roll-forward break (Beg + PAT – Dividends ≠ BS)</t>
  </si>
  <si>
    <t>Advances: balance sheet ≠ advances schedule</t>
  </si>
  <si>
    <t>Deposits: balance sheet ≠ deposits schedule</t>
  </si>
  <si>
    <t>Borrowings: balance sheet ≠ schedule + liquidity facility</t>
  </si>
  <si>
    <t>Historical PAT ≠ reported PAT</t>
  </si>
  <si>
    <t>Historical total assets ≠ reported total assets</t>
  </si>
  <si>
    <t>Capital below regulatory minimum (CET1 or CRAR)</t>
  </si>
  <si>
    <t>Negative bank balances</t>
  </si>
  <si>
    <t>Hard-coded values in forecast statements (rows 9–105)</t>
  </si>
  <si>
    <t>Error values in model column (rows 9–307)</t>
  </si>
  <si>
    <t>Total Model Flags</t>
  </si>
  <si>
    <t>Historical years show reported CFO / CFI / CFF subtotals (detail on Historicals tab).</t>
  </si>
  <si>
    <t>CFI revolver logic: draws when cash &lt; minimum requirement, repays when cash is in surplus. Interest on opening balance (no circularity).</t>
  </si>
  <si>
    <t>Depreciation is reported within other operating expenses (RBI format) and added back in the cash flow.</t>
  </si>
  <si>
    <t>Net advances are shown net of provisions, so cash lent = increase in net advances + provisions charged.</t>
  </si>
  <si>
    <t>Forecast: total cash from the cash flow statement less cash &amp; balances with RBI (no plug).</t>
  </si>
  <si>
    <t>ILLUSTRATIVE (not guidance): ₹7,500 cr in FY28 and ₹10,000 cr in FY30 keep CRAR above the 11.5% minimum at ~20% loan growth. Without raises CRAR falls to ~10.5% by FY31 (model flags this). Bank raised ₹7,500 cr via CCPS in FY26.</t>
  </si>
  <si>
    <t>Dashboard: Key Metrics &amp; Charts</t>
  </si>
  <si>
    <t>INCOME STATEMENT</t>
  </si>
  <si>
    <t>Net Interest Income</t>
  </si>
  <si>
    <t>Net Interest Margin (calc.)</t>
  </si>
  <si>
    <t>Credit Cost</t>
  </si>
  <si>
    <t>Return on Assets</t>
  </si>
  <si>
    <t>Return on Equity</t>
  </si>
  <si>
    <t>CRAR</t>
  </si>
  <si>
    <t>Charts: actuals FY22–FY26, forecasts FY27–FY31 (ratio charts start FY23 as averages need a prior year).</t>
  </si>
  <si>
    <t>IDFC FIRST Bank Ltd.</t>
  </si>
  <si>
    <t>Three-Statement Financial Model (Standalone, INR crore) – FY2022A–FY2031F</t>
  </si>
  <si>
    <t>Table of Contents</t>
  </si>
  <si>
    <t>Outputs</t>
  </si>
  <si>
    <t>Dashboard: key metrics and charts</t>
  </si>
  <si>
    <t>Inputs</t>
  </si>
  <si>
    <t>Scenario drivers (Best / Base / Worst) and other assumptions</t>
  </si>
  <si>
    <t>Model</t>
  </si>
  <si>
    <t>Income statement, cash flow, balance sheet, supporting schedules and checks</t>
  </si>
  <si>
    <t>Historicals</t>
  </si>
  <si>
    <t>Reported standalone financials FY22–FY26 with source notes</t>
  </si>
  <si>
    <t>Flag</t>
  </si>
  <si>
    <t>Balance Sheet Unbalanced?</t>
  </si>
  <si>
    <t>Cash Flow ≠ Balance Sheet Cash?</t>
  </si>
  <si>
    <t>Reserves Roll-forward Break?</t>
  </si>
  <si>
    <t>Advances Schedule ≠ Balance Sheet?</t>
  </si>
  <si>
    <t>Deposits Schedule ≠ Balance Sheet?</t>
  </si>
  <si>
    <t>Borrowings Schedule ≠ Balance Sheet?</t>
  </si>
  <si>
    <t>Historical PAT ≠ Reported?</t>
  </si>
  <si>
    <t>Historical Total Assets ≠ Reported?</t>
  </si>
  <si>
    <t>Capital Below Regulatory Minimum?</t>
  </si>
  <si>
    <t>Negative Bank Balances?</t>
  </si>
  <si>
    <t>Hard-coded Forecast Cells in Statements?</t>
  </si>
  <si>
    <t>Error Values in Model?</t>
  </si>
  <si>
    <t>OVERALL MODEL STATUS</t>
  </si>
  <si>
    <t>Scenario Running</t>
  </si>
  <si>
    <t>Key Conventions</t>
  </si>
  <si>
    <t>• Blue = hard-coded inputs and reported data; black = formulas; green = links from other sheets.</t>
  </si>
  <si>
    <t>• Fiscal year ends 31 March (2026A = FY2025-26). Actuals are standalone audited figures.</t>
  </si>
  <si>
    <t>• Cash is derived from the cash flow statement; a liquidity facility (CFI revolver logic) funds any shortfall below minimum cash.</t>
  </si>
  <si>
    <t>• No circular references: interest on cash and the liquidity facility uses opening balances.</t>
  </si>
  <si>
    <t>• Depreciation sits within other operating expenses (RBI format) and is added back in the cash flow.</t>
  </si>
  <si>
    <t>Primary Sources</t>
  </si>
  <si>
    <t>• IDFC FIRST Bank – Audited Standalone Financial Results Q4 FY26 (25-Apr-2026): FY25, FY26</t>
  </si>
  <si>
    <t>• IDFC FIRST Bank – Audited Standalone Financial Results Q4 FY24 (27-Apr-2024): FY24</t>
  </si>
  <si>
    <t>• IDFC FIRST Bank – Audited Standalone Financial Results Q4 FY23 (29-Apr-2023): FY22, FY23</t>
  </si>
  <si>
    <t>• IDFC FIRST Bank – Investor Presentation Q4 FY26: CASA, CET1, RWA, Tier 2; Q4 FY26 earnings call: guidance</t>
  </si>
  <si>
    <t>• Cell-level source notes and URLs are on the Historicals tab.</t>
  </si>
  <si>
    <t>Model structure adapted from CFI Education Inc. Three-Statement Model template (© 2015–2024 CFI Education Inc.). For analysis purposes only; not investment advice.</t>
  </si>
  <si>
    <t>Valuation: Residual Income Model (RIM)</t>
  </si>
  <si>
    <t>Source / rationale</t>
  </si>
  <si>
    <t>METHODOLOGY</t>
  </si>
  <si>
    <t>Banks are valued on equity, not enterprise value: deposits and borrowings are operating inputs, so FCFF/EV frameworks are not meaningful.</t>
  </si>
  <si>
    <t>Residual Income Model: Equity value = Opening book value + PV of (Net profit – Cost of equity × Opening equity) + PV of terminal residual income.</t>
  </si>
  <si>
    <t>RIM is preferred over a DDM because the bank pays a token dividend (~13–15% payout) and retains most earnings; book value and ROE drive value.</t>
  </si>
  <si>
    <t>Inputs: net profit, dividends, equity issuance and shareholders' funds link directly to the Model tab (clean-surplus check below). Discounting is end-of-year from 31-Mar-2026, then rolled forward to the valuation date.</t>
  </si>
  <si>
    <t>VALUATION ASSUMPTIONS</t>
  </si>
  <si>
    <t>Valuation Date</t>
  </si>
  <si>
    <t>Date of the market data used (G-sec yield and share price).</t>
  </si>
  <si>
    <t>Valuation Base Date (latest audited balance sheet)</t>
  </si>
  <si>
    <t>31-Mar of last actual year on Model tab (FY26A). Opening book value is taken at this date.</t>
  </si>
  <si>
    <t>Current Market Price (NSE)</t>
  </si>
  <si>
    <t>₹</t>
  </si>
  <si>
    <t>Face Value per Share</t>
  </si>
  <si>
    <t>Face value ₹10 per share (audited results, item 15).</t>
  </si>
  <si>
    <t>Shares Outstanding (basic)</t>
  </si>
  <si>
    <t>crore</t>
  </si>
  <si>
    <t>Paid-up capital at 31-Mar-2026 ÷ face value. Basic count; ESOP dilution (~1% per diluted EPS) not included.</t>
  </si>
  <si>
    <t>Dividend per Share Paid after Base Date</t>
  </si>
  <si>
    <t>FY26 dividend of ₹0.25/share proposed (Q4 FY26 results). Assumed paid before the valuation date – record/payment date not verified.</t>
  </si>
  <si>
    <t>Assumed Issue Price for New Equity</t>
  </si>
  <si>
    <t>₹/share</t>
  </si>
  <si>
    <t>Used only to convert Model equity raises (Inputs row 74) into new shares for forecast BVPS/EPS. Defaults to market price; overwrite if needed. Does not affect intrinsic value (see note in row 58).</t>
  </si>
  <si>
    <t>COST OF EQUITY (CAPM)</t>
  </si>
  <si>
    <t>Risk-free Rate (India 10Y G-sec)</t>
  </si>
  <si>
    <t>India 10-year G-sec yield ~7.35% on 13-Oct-2026 (market data; verify against FBIL/CCIL). Local-currency rate, consistent with INR cash flows.</t>
  </si>
  <si>
    <t>Equity Beta</t>
  </si>
  <si>
    <t>3-year beta vs index ~1.14 (1-year ~1.21–1.25) per broker data pages – unofficial; verify on Bloomberg/NSE. Above 1 given mid-cap, high-growth retail book.</t>
  </si>
  <si>
    <t>Equity Risk Premium (India)</t>
  </si>
  <si>
    <t>India ERP 7.00% (range 6.5–7.5%), Incwert India ERP Study, Jan-2026 – designed for use with the Indian G-sec rate.</t>
  </si>
  <si>
    <t>Cost of Equity (Ke)</t>
  </si>
  <si>
    <t>Ke = Rf + β × ERP.</t>
  </si>
  <si>
    <t>TERMINAL VALUE</t>
  </si>
  <si>
    <t>Terminal Growth Rate of Residual Income (g)</t>
  </si>
  <si>
    <t>5.0%: below India's long-run nominal GDP growth (~10%) since excess returns are competed away over time and the bank's growth converges to system growth. Must be &lt; Ke.</t>
  </si>
  <si>
    <t>Terminal ROE Override (blank = use FY31F ROE)</t>
  </si>
  <si>
    <t>Optional. Leave blank to use the forecast FY31 ROE on opening equity (row 47). Enter e.g. a long-run target ROE to test.</t>
  </si>
  <si>
    <t>Terminal ROE Applied</t>
  </si>
  <si>
    <t>Sustainable ROE earned on FY31 closing equity in perpetuity.</t>
  </si>
  <si>
    <t>Check: Ke &gt; g</t>
  </si>
  <si>
    <t>Gordon-growth terminal value only valid when Ke exceeds g.</t>
  </si>
  <si>
    <t>HISTORICAL &amp; FORECAST METRICS</t>
  </si>
  <si>
    <t>Model IS row 30.</t>
  </si>
  <si>
    <t>Model equity schedule row 280 (payout × prior-year PAT). Historical dividends not split out on Historicals tab.</t>
  </si>
  <si>
    <t>Model row 274 (Inputs row 74 – illustrative raises).</t>
  </si>
  <si>
    <t>Closing Shareholders' Equity</t>
  </si>
  <si>
    <t>Model BS row 101 (capital + ESOP outstanding + reserves).</t>
  </si>
  <si>
    <t>Opening Shareholders' Equity</t>
  </si>
  <si>
    <t>Clean-surplus Check (Open + PAT – Div + Issue – Close)</t>
  </si>
  <si>
    <t>Must be 0: confirms all equity movements are captured, so RIM equals DDM (no double counting).</t>
  </si>
  <si>
    <t>Shares Outstanding (year-end)</t>
  </si>
  <si>
    <t>Forecast: prior year + equity raised ÷ assumed issue price (F21). Blank until a price is entered.</t>
  </si>
  <si>
    <t>Book Value per Share (BVPS)</t>
  </si>
  <si>
    <t>Closing equity ÷ year-end shares (₹).</t>
  </si>
  <si>
    <t>Earnings per Share (EPS)</t>
  </si>
  <si>
    <t>PAT ÷ year-end shares (₹) – approximation; reported EPS uses weighted average shares.</t>
  </si>
  <si>
    <t>ROE on Opening Equity</t>
  </si>
  <si>
    <t>PAT ÷ opening equity – the return definition consistent with the RIM equity charge (Model row 38 uses average equity).</t>
  </si>
  <si>
    <t>Dividend per Share</t>
  </si>
  <si>
    <t>Dividend paid in year ÷ prior year-end shares (₹).</t>
  </si>
  <si>
    <t>RESIDUAL INCOME (EXPLICIT FORECAST FY27F–FY31F)</t>
  </si>
  <si>
    <t>Opening Shareholders' Equity (Bt-1)</t>
  </si>
  <si>
    <t>Equity Charge (Ke × Bt-1)</t>
  </si>
  <si>
    <t>Required return on opening equity.</t>
  </si>
  <si>
    <t>Residual Income</t>
  </si>
  <si>
    <t>PAT – equity charge. Negative when ROE on opening equity &lt; Ke.</t>
  </si>
  <si>
    <t>Discount Period (years from base date)</t>
  </si>
  <si>
    <t>End-of-year convention: FY27 RI received 31-Mar-2027 = 1.0 year after base date.</t>
  </si>
  <si>
    <t>Discount Factor</t>
  </si>
  <si>
    <t>PV of Residual Income</t>
  </si>
  <si>
    <t>Equity raises are inside Bt-1, so RI already nets their cost of capital: value is per existing share, assuming new shares are issued at fair value.</t>
  </si>
  <si>
    <t>TERMINAL VALUE (AT 31-MAR-2031)</t>
  </si>
  <si>
    <t>Closing Equity FY31F (opening equity for FY32)</t>
  </si>
  <si>
    <t>Book value at end of explicit forecast.</t>
  </si>
  <si>
    <t>Terminal-year Residual Income (FY32)</t>
  </si>
  <si>
    <t>(ROE – Ke) × FY31 closing equity.</t>
  </si>
  <si>
    <t>Terminal Value of Residual Income</t>
  </si>
  <si>
    <t>Gordon growth: RI(FY32) ÷ (Ke – g).</t>
  </si>
  <si>
    <t>PV of Terminal Value</t>
  </si>
  <si>
    <t>Discounted 5.0 years at Ke (same factor as FY31F RI).</t>
  </si>
  <si>
    <t>EQUITY VALUE</t>
  </si>
  <si>
    <t>Opening Book Value of Equity (31-Mar-2026)</t>
  </si>
  <si>
    <t>FY26A shareholders' funds.</t>
  </si>
  <si>
    <t>PV of Forecast Residual Income (FY27F–FY31F)</t>
  </si>
  <si>
    <t>PV of Terminal Residual Income</t>
  </si>
  <si>
    <t>Intrinsic Equity Value at Base Date</t>
  </si>
  <si>
    <t>Roll-forward Period to Valuation Date (years)</t>
  </si>
  <si>
    <t>Value at base date grown at Ke to the valuation date.</t>
  </si>
  <si>
    <t>Equity Value Rolled Forward</t>
  </si>
  <si>
    <t>Less: Dividends Paid since Base Date</t>
  </si>
  <si>
    <t>Cash already distributed is no longer in the value of the share.</t>
  </si>
  <si>
    <t>Intrinsic Equity Value at Valuation Date</t>
  </si>
  <si>
    <t>Shares Outstanding (crore)</t>
  </si>
  <si>
    <t>Intrinsic Value per Share (₹)</t>
  </si>
  <si>
    <t>Current Market Price (₹)</t>
  </si>
  <si>
    <t>Implied Upside / (Downside)</t>
  </si>
  <si>
    <t>VALUATION CROSS-CHECKS</t>
  </si>
  <si>
    <t>Current BVPS at Base Date (₹)</t>
  </si>
  <si>
    <t>Intrinsic P/B (on base-date book)</t>
  </si>
  <si>
    <t>Market P/B (on base-date book)</t>
  </si>
  <si>
    <t>Justified Terminal P/B  [1 + (ROE – Ke)/(Ke – g)]</t>
  </si>
  <si>
    <t>P/B the terminal assumptions imply for FY31 book.</t>
  </si>
  <si>
    <t>Terminal Value as % of Intrinsic Value (base date)</t>
  </si>
  <si>
    <t>SENSITIVITY 1: INTRINSIC VALUE PER SHARE (₹) – COST OF EQUITY vs TERMINAL GROWTH</t>
  </si>
  <si>
    <t>Step size (rows: Ke / columns)</t>
  </si>
  <si>
    <t>Ke</t>
  </si>
  <si>
    <t>g</t>
  </si>
  <si>
    <t>Each cell recomputes the full RIM (forecast RI, terminal value, roll-forward) for the given Ke and g; terminal ROE held at F32. Centre (yellow) = base case.</t>
  </si>
  <si>
    <t>Ke  \  g</t>
  </si>
  <si>
    <t>SENSITIVITY 2: INTRINSIC VALUE PER SHARE (₹) – COST OF EQUITY vs TERMINAL ROE</t>
  </si>
  <si>
    <t>ROE</t>
  </si>
  <si>
    <t>Terminal growth held at F30. Shows the sustainable ROE needed to justify a given price.</t>
  </si>
  <si>
    <t>Ke  \  ROE</t>
  </si>
  <si>
    <t>Check: table centre = base-case value per share</t>
  </si>
  <si>
    <t>VALUATION INTEGRITY FLAG (0 = OK)</t>
  </si>
  <si>
    <t>Combines: clean-surplus check, Ke &gt; g, sensitivity centre ties to base case, no error values. Linked to Cover checks.</t>
  </si>
  <si>
    <t>Valuation Integrity Issue?</t>
  </si>
  <si>
    <t>Comparable Company Analysis: IDFC FIRST Bank vs Listed Indian Bank Peers</t>
  </si>
  <si>
    <t>All figures in INR crore unless stated; per-share figures in ₹</t>
  </si>
  <si>
    <t>Blue = hard-coded input (sources in cell notes); Green = link to other tabs; Black = formula. Peer data are FY26A (year ended 31-Mar-2026) audited results; prices are unofficial quotes – verify on NSE.</t>
  </si>
  <si>
    <t>VALUATION PARAMETERS</t>
  </si>
  <si>
    <t>Linked to DCF Valuation tab so both methods share one valuation date.</t>
  </si>
  <si>
    <t>Financial Period for Trailing Multiples</t>
  </si>
  <si>
    <t>FY26A</t>
  </si>
  <si>
    <t>Latest audited full year for all banks: year ended 31-Mar-2026.</t>
  </si>
  <si>
    <t>IDFC FIRST Bank Market Price (₹)</t>
  </si>
  <si>
    <t>Adjustment to IDFC FY26A PAT for One-offs (₹ cr, post-tax)</t>
  </si>
  <si>
    <t>Default 0 = reported PAT. Management's Q4 FY26 normalised PAT (₹746 cr) vs reported (₹319 cr) implies ~₹427 cr of one-offs (fraud incident, treasury loss, tax refund) – enter to test a normalised P/E.</t>
  </si>
  <si>
    <t>PEER SELECTION</t>
  </si>
  <si>
    <t>Bank</t>
  </si>
  <si>
    <t>Ticker (NSE)</t>
  </si>
  <si>
    <t>Type</t>
  </si>
  <si>
    <t>Benchmark?</t>
  </si>
  <si>
    <t>Rationale</t>
  </si>
  <si>
    <t>Federal Bank</t>
  </si>
  <si>
    <t>FEDERALBNK</t>
  </si>
  <si>
    <t>Mid-size private</t>
  </si>
  <si>
    <t>Core</t>
  </si>
  <si>
    <t>AU Small Finance Bank</t>
  </si>
  <si>
    <t>AUBANK</t>
  </si>
  <si>
    <t>SFB → universal</t>
  </si>
  <si>
    <t>Bandhan Bank</t>
  </si>
  <si>
    <t>BANDHANBNK</t>
  </si>
  <si>
    <t>IndusInd Bank</t>
  </si>
  <si>
    <t>INDUSINDBK</t>
  </si>
  <si>
    <t>Large private</t>
  </si>
  <si>
    <t>P/B only</t>
  </si>
  <si>
    <t>RBL Bank</t>
  </si>
  <si>
    <t>RBLBANK</t>
  </si>
  <si>
    <t>Excluded</t>
  </si>
  <si>
    <t>HDFC / ICICI / Axis Bank</t>
  </si>
  <si>
    <t>—</t>
  </si>
  <si>
    <t>Not used</t>
  </si>
  <si>
    <t>Closest on size (₹3.9 lakh cr assets) and diversified retail/SME/NRI mix; lower NIM, much stronger RoA and asset quality than IDFC.</t>
  </si>
  <si>
    <t>Retail-led, high-yield secured lending like IDFC's RAM book; NIM ~6%. Trades at a premium (high ROE, growth); in-principle universal-bank approval.</t>
  </si>
  <si>
    <t>High-NIM (6.1%), retail/microfinance-heavy, transforming to secured lending; weak ROE like IDFC. Price +9% on 13-Oct-2026 on stake-sale rumour (bank denied).</t>
  </si>
  <si>
    <t>Similar size and retail/vehicle/MFI exposure; FY26 earnings depressed by accounting-lapse aftermath (ROE ~1.4%), so P/E (~77x) is not meaningful – excluded from P/E benchmark.</t>
  </si>
  <si>
    <t>Emirates NBD acquired 60% (Jun-2026) via large primary issuance; share count and book changed materially after FY26, so FY26 BVPS/EPS are not comparable with today's price.</t>
  </si>
  <si>
    <t>Secondary benchmarks only: far larger, lower-cost deposit franchises with mature ROE (15–18%). Not collected in this version; would bias multiples upward.</t>
  </si>
  <si>
    <t>MARKET DATA &amp; REPORTED FINANCIALS (FY26A)</t>
  </si>
  <si>
    <t>Basis</t>
  </si>
  <si>
    <t>Price (₹)</t>
  </si>
  <si>
    <t>Face Value (₹)</t>
  </si>
  <si>
    <t>Paid-up Capital</t>
  </si>
  <si>
    <t>Shares (cr)</t>
  </si>
  <si>
    <t>Market Cap</t>
  </si>
  <si>
    <t>Shareholders' Equity</t>
  </si>
  <si>
    <t>Net Profit FY26</t>
  </si>
  <si>
    <t>Total Income FY26</t>
  </si>
  <si>
    <t>BVPS (₹)</t>
  </si>
  <si>
    <t>EPS (₹)</t>
  </si>
  <si>
    <t>Reported Basic EPS (₹)</t>
  </si>
  <si>
    <t>Standalone</t>
  </si>
  <si>
    <t>Consolidated</t>
  </si>
  <si>
    <t>n/a</t>
  </si>
  <si>
    <t>IDFC FIRST Bank (subject)</t>
  </si>
  <si>
    <t>Definitions: Shares = paid-up capital ÷ face value. Equity = capital + reserves (+ ESOP outstanding where reported); excludes warrant money/preference capital. EPS = PAT ÷ year-end shares (basic, simple).</t>
  </si>
  <si>
    <t>Federal: equity excludes ₹1,549 cr share-warrant subscription money (Blackstone warrants not yet converted). FV ₹2.</t>
  </si>
  <si>
    <t>AU: equity = shareholders' funds per press release; total income and EPS are from an unofficial results summary.</t>
  </si>
  <si>
    <t>Bandhan: no subsidiaries, so standalone = group.</t>
  </si>
  <si>
    <t>IndusInd: CONSOLIDATED (press release reports consolidated headline figures; standalone PAT ₹933 cr per unofficial summary). Share count from paid-up capital Jun-2025 (latest official found).</t>
  </si>
  <si>
    <t>Links: equity Model J101, PAT Model J30 (+ F12 adjustment), assets Model J90, capital Historicals J24, total income = interest earned + other income.</t>
  </si>
  <si>
    <t>VALUATION MULTIPLES &amp; OPERATING METRICS</t>
  </si>
  <si>
    <t>In P/B Set? (Y/N)</t>
  </si>
  <si>
    <t>In P/E Set? (Y/N)</t>
  </si>
  <si>
    <t>P/B (x)</t>
  </si>
  <si>
    <t>P/E (x)</t>
  </si>
  <si>
    <t>ROE (PAT ÷ Closing Equity)</t>
  </si>
  <si>
    <t>ROA (PAT ÷ Closing Assets)</t>
  </si>
  <si>
    <t>ROA (Reported)</t>
  </si>
  <si>
    <t>NIM (Reported)</t>
  </si>
  <si>
    <t>GNPA %</t>
  </si>
  <si>
    <t>NNPA %</t>
  </si>
  <si>
    <t>CRAR %</t>
  </si>
  <si>
    <t>P/B (benchmark set)</t>
  </si>
  <si>
    <t>P/E (benchmark set)</t>
  </si>
  <si>
    <t>Y</t>
  </si>
  <si>
    <t>N</t>
  </si>
  <si>
    <t>Subject</t>
  </si>
  <si>
    <t>Mean – benchmark set</t>
  </si>
  <si>
    <t>Median – benchmark set (primary)</t>
  </si>
  <si>
    <t>Benchmark set flags (C:D) are editable. Mean/median for P/B and P/E use only flagged peers; operating-metric averages use all four peers. ROE uses closing equity because prior-year equity was not collected for every peer.</t>
  </si>
  <si>
    <t>NIM: AU, IndusInd = Q4 FY26; Bandhan, IDFC = FY26; Federal NIM not found in sources used (n/a). Definitions differ by bank – use for context only.</t>
  </si>
  <si>
    <t>IndusInd excluded from P/E set: FY26 PAT depressed by derivative/MFI accounting-lapse aftermath; P/E ~77x is an outlier. Reported FY ROA not found (Q4 annualised 0.45%).</t>
  </si>
  <si>
    <t>IDFC ROA 0.44% (audited results, item 17v); NIM 5.75% FY26 (investor presentation, gross of IBPC &amp; sell-down).</t>
  </si>
  <si>
    <t>Market Cap (₹ cr)</t>
  </si>
  <si>
    <t>FORWARD MULTIPLES (FY27E) – PEER CONSENSUS INPUTS</t>
  </si>
  <si>
    <t>FY27E EPS (₹)</t>
  </si>
  <si>
    <t>FY27E BVPS (₹)</t>
  </si>
  <si>
    <t>Forward P/E (x)</t>
  </si>
  <si>
    <t>Forward P/B (x)</t>
  </si>
  <si>
    <t>In Set?</t>
  </si>
  <si>
    <t>Median – forward benchmark set</t>
  </si>
  <si>
    <t>IDFC FIRST Bank – FY27F (from Model)</t>
  </si>
  <si>
    <t>FY27F Net Profit</t>
  </si>
  <si>
    <t>Model IS row 30, current scenario (Inputs E7).</t>
  </si>
  <si>
    <t>FY27F Closing Shareholders' Equity</t>
  </si>
  <si>
    <t>Model BS row 101.</t>
  </si>
  <si>
    <t>FY27F Equity Issuance</t>
  </si>
  <si>
    <t>Model row 274 (Inputs K74). Zero in base case for FY27.</t>
  </si>
  <si>
    <t>FY27F Shares Outstanding (cr)</t>
  </si>
  <si>
    <t>FY26A shares + any FY27 issuance at current price.</t>
  </si>
  <si>
    <t>FY27F EPS (₹)</t>
  </si>
  <si>
    <t>FY27F BVPS (₹)</t>
  </si>
  <si>
    <t>PEER FORWARD DATA NOT ENTERED: FY27E consensus EPS/BVPS for peers could not be sourced from official documents (companies do not publish forecasts). Enter broker/Bloomberg consensus to activate forward multiples; forward implied prices stay 'n/a' until then. Do not apply trailing peer multiples to IDFC forecasts – periods would not match.</t>
  </si>
  <si>
    <t>IMPLIED VALUATION OF IDFC FIRST BANK</t>
  </si>
  <si>
    <t>Method</t>
  </si>
  <si>
    <t>Peer Multiple – Median (x)</t>
  </si>
  <si>
    <t>IDFC Metric (₹/share)</t>
  </si>
  <si>
    <t>Implied Price – Median (₹)</t>
  </si>
  <si>
    <t>Implied Equity Value (₹ cr)</t>
  </si>
  <si>
    <t>Upside / (Downside)</t>
  </si>
  <si>
    <t>Peer Multiple – Mean (x)</t>
  </si>
  <si>
    <t>Implied Price – Mean (₹)</t>
  </si>
  <si>
    <t>Upside / (Downside) – Mean</t>
  </si>
  <si>
    <t>Trailing P/B</t>
  </si>
  <si>
    <t>FY26A BVPS</t>
  </si>
  <si>
    <t>Trailing P/E</t>
  </si>
  <si>
    <t>FY26A EPS</t>
  </si>
  <si>
    <t>Forward P/B</t>
  </si>
  <si>
    <t>FY27F BVPS</t>
  </si>
  <si>
    <t>Forward P/E</t>
  </si>
  <si>
    <t>FY27F EPS</t>
  </si>
  <si>
    <t>Primary approach. P/B is the more reliable bank multiple here: IDFC's FY26 earnings are depressed (ROE 3.5%), so P/E-based values understate franchise value.</t>
  </si>
  <si>
    <t>P/E on reported FY26A PAT (adjust F12 for one-offs). IndusInd excluded from P/E median (outlier).</t>
  </si>
  <si>
    <t>Forward rows activate when peer FY27E consensus is entered in C46:D49.</t>
  </si>
  <si>
    <t>VALUATION SUMMARY (₹ per share)</t>
  </si>
  <si>
    <t>Current Market Price</t>
  </si>
  <si>
    <t>P/B-implied (median, trailing)</t>
  </si>
  <si>
    <t>P/E-implied (median, trailing)</t>
  </si>
  <si>
    <t>Relative Valuation – Low</t>
  </si>
  <si>
    <t>Lowest of the available relative-value methods.</t>
  </si>
  <si>
    <t>Relative Valuation – High</t>
  </si>
  <si>
    <t>Relative Valuation – Blended (P/B weight below)</t>
  </si>
  <si>
    <t>Weighted towards P/B because current earnings are cyclically depressed.</t>
  </si>
  <si>
    <t>Weight on P/B in Blend</t>
  </si>
  <si>
    <t>Input. 75% P/B / 25% P/E.</t>
  </si>
  <si>
    <t>Blended Upside / (Downside)</t>
  </si>
  <si>
    <t>Cross-check: Residual Income Value (DCF Valuation tab)</t>
  </si>
  <si>
    <t>Cross-check: RIM Upside / (Downside)</t>
  </si>
  <si>
    <t>SENSITIVITY 1: IMPLIED SHARE PRICE (₹) vs P/B MULTIPLE</t>
  </si>
  <si>
    <t>Step size (x)</t>
  </si>
  <si>
    <t>Multiple (x)</t>
  </si>
  <si>
    <t>Implied Price on FY26A BVPS</t>
  </si>
  <si>
    <t>Implied Price on FY27F BVPS</t>
  </si>
  <si>
    <t>SENSITIVITY 2: IMPLIED SHARE PRICE (₹) vs P/E MULTIPLE</t>
  </si>
  <si>
    <t>Implied Price on FY26A EPS</t>
  </si>
  <si>
    <t>Implied Price on FY27F EPS</t>
  </si>
  <si>
    <t>Centre row (yellow) = peer median. FY27F columns apply the multiple to Model forecasts – compare only against forward peer multiples, not trailing ones.</t>
  </si>
  <si>
    <t>Centre row (yellow) = peer median P/E (IndusInd excluded).</t>
  </si>
  <si>
    <t>CHECKS (0 = OK)</t>
  </si>
  <si>
    <t>IDFC share count ties to DCF Valuation tab</t>
  </si>
  <si>
    <t>Peer calc. EPS within 2% of reported basic EPS</t>
  </si>
  <si>
    <t>Sensitivity centre rows tie to implied values</t>
  </si>
  <si>
    <t>All prices, shares and equity positive</t>
  </si>
  <si>
    <t>No error values in sheet calculations</t>
  </si>
  <si>
    <t>CCA Integrity Flag</t>
  </si>
  <si>
    <t>Comparable Company Analysis</t>
  </si>
  <si>
    <t>Peer P/B &amp; P/E multiples, implied price and sensitivities</t>
  </si>
  <si>
    <t>Comparable Company Analysis Issue?</t>
  </si>
  <si>
    <t>Linked to Comparable Company Analysis!F11 (single price input for both methods). Price is an UNOFFICIAL quote – verify against the NSE official close before use.</t>
  </si>
  <si>
    <t>UNOFFICIAL quote – NSE close 13-Oct-2026 per Value Research (corroborated by Bajaj Finserv previous close). Verify on nseindia.com. Single price input: DCF Valuation!F17 links here.</t>
  </si>
  <si>
    <t>FY27: formula = declared FY26 DPS ₹0.25 × 860.17 cr shares ÷ FY26 PAT (≈13.1%), so the Model dividend equals the cash deducted on the DCF tab. FY28+ are inputs.</t>
  </si>
  <si>
    <t>DCF Valuation</t>
  </si>
  <si>
    <t>Equity valuation via residual income model (equity DCF), CAPM cost of equity and sensitivities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</si>
</sst>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&quot;A&quot;"/>
    <numFmt numFmtId="165" formatCode="_(#,##0_);\(#,##0\);_(&quot;–&quot;_);_(@_)"/>
    <numFmt numFmtId="166" formatCode="_(#,##0.00%_);\(#,##0.00%\);_(&quot;–&quot;_)_%;_(@_)_%"/>
    <numFmt numFmtId="167" formatCode="0&quot;F&quot;"/>
    <numFmt numFmtId="168" formatCode="_(#,##0.0%_);\(#,##0.0%\);_(&quot;–&quot;_)_%;_(@_)_%"/>
    <numFmt numFmtId="169" formatCode="0000"/>
    <numFmt numFmtId="170" formatCode="0;\-0;&quot;–&quot;"/>
    <numFmt numFmtId="171" formatCode="dd\-mmm\-yyyy"/>
    <numFmt numFmtId="172" formatCode="_(#,##0.00_);\(#,##0.00\);_(&quot;–&quot;_);_(@_)"/>
    <numFmt numFmtId="173" formatCode="0.0"/>
    <numFmt numFmtId="174" formatCode="0.0000"/>
    <numFmt numFmtId="175" formatCode="0.00&quot;x&quot;"/>
    <numFmt numFmtId="177" formatCode="0.00&quot;x&quot;;\(0.00&quot;x&quot;\);&quot;–&quot;"/>
  </numFmts>
  <fonts count="29" x14ac:knownFonts="1">
    <font>
      <sz val="12"/>
      <color theme="1"/>
      <name val="Aptos Narrow"/>
      <family val="2"/>
      <scheme val="minor"/>
    </font>
    <font>
      <sz val="10"/>
      <color theme="1"/>
      <name val="Open Sans"/>
    </font>
    <font>
      <u/>
      <sz val="12"/>
      <color theme="10"/>
      <name val="Aptos Narrow"/>
      <family val="2"/>
      <scheme val="minor"/>
    </font>
    <font>
      <sz val="9"/>
      <color theme="1"/>
      <name val="Open Sans"/>
    </font>
    <font>
      <i/>
      <sz val="9"/>
      <color theme="1"/>
      <name val="Open Sans"/>
    </font>
    <font>
      <b/>
      <sz val="10"/>
      <color theme="1"/>
      <name val="Open Sans"/>
    </font>
    <font>
      <sz val="10"/>
      <color rgb="FF3271D2"/>
      <name val="Open Sans"/>
    </font>
    <font>
      <i/>
      <sz val="10"/>
      <color theme="1"/>
      <name val="Open Sans"/>
    </font>
    <font>
      <i/>
      <sz val="8"/>
      <color theme="1"/>
      <name val="Open Sans"/>
    </font>
    <font>
      <i/>
      <sz val="9"/>
      <color rgb="FFC00000"/>
      <name val="Open Sans"/>
    </font>
    <font>
      <sz val="10"/>
      <color rgb="FF008000"/>
      <name val="Open Sans"/>
    </font>
    <font>
      <sz val="10"/>
      <color rgb="FF000000"/>
      <name val="Open Sans"/>
    </font>
    <font>
      <b/>
      <sz val="10"/>
      <color rgb="FF000000"/>
      <name val="Open Sans"/>
    </font>
    <font>
      <b/>
      <sz val="10"/>
      <color rgb="FF008000"/>
      <name val="Open Sans"/>
    </font>
    <font>
      <i/>
      <sz val="8"/>
      <color rgb="FF7F7F7F"/>
      <name val="Open Sans"/>
    </font>
    <font>
      <i/>
      <sz val="10"/>
      <color rgb="FF000000"/>
      <name val="Open Sans"/>
    </font>
    <font>
      <b/>
      <sz val="10"/>
      <color rgb="FF3271D2"/>
      <name val="Open Sans"/>
    </font>
    <font>
      <i/>
      <sz val="10"/>
      <color rgb="FF7F7F7F"/>
      <name val="Open Sans"/>
    </font>
    <font>
      <sz val="10"/>
      <color rgb="FF7F7F7F"/>
      <name val="Open Sans"/>
    </font>
    <font>
      <b/>
      <i/>
      <sz val="9"/>
      <color theme="1"/>
      <name val="Open Sans"/>
    </font>
    <font>
      <u/>
      <sz val="12"/>
      <color rgb="FF3271D2"/>
      <name val="Open Sans"/>
    </font>
    <font>
      <sz val="12"/>
      <color theme="1"/>
      <name val="Open Sans"/>
    </font>
    <font>
      <b/>
      <sz val="14"/>
      <color rgb="FFFFFFFF"/>
      <name val="Open Sans"/>
    </font>
    <font>
      <sz val="10"/>
      <color rgb="FFFFFFFF"/>
      <name val="Open Sans"/>
    </font>
    <font>
      <b/>
      <sz val="20"/>
      <color rgb="FFFFFFFF"/>
      <name val="Open Sans"/>
    </font>
    <font>
      <i/>
      <sz val="9"/>
      <color rgb="FFFFFFFF"/>
      <name val="Open Sans"/>
    </font>
    <font>
      <b/>
      <sz val="12"/>
      <color rgb="FFFFFFFF"/>
      <name val="Open Sans"/>
    </font>
    <font>
      <b/>
      <sz val="12"/>
      <color rgb="FF9C1D26"/>
      <name val="Open Sans"/>
    </font>
    <font>
      <sz val="10"/>
      <color theme="0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1D26"/>
        <bgColor indexed="64"/>
      </patternFill>
    </fill>
    <fill>
      <patternFill patternType="solid">
        <fgColor rgb="FFF5E8E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auto="1"/>
      </top>
      <bottom/>
      <diagonal/>
    </border>
    <border>
      <left style="thin">
        <color rgb="FFBFBFBF"/>
      </left>
      <right/>
      <top style="thin">
        <color auto="1"/>
      </top>
      <bottom style="medium">
        <color auto="1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5" fillId="0" borderId="2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5" fontId="1" fillId="0" borderId="0" xfId="0" applyNumberFormat="1" applyFont="1"/>
    <xf numFmtId="165" fontId="5" fillId="0" borderId="0" xfId="0" applyNumberFormat="1" applyFont="1"/>
    <xf numFmtId="165" fontId="5" fillId="0" borderId="3" xfId="0" applyNumberFormat="1" applyFont="1" applyBorder="1"/>
    <xf numFmtId="0" fontId="7" fillId="0" borderId="0" xfId="0" applyFont="1"/>
    <xf numFmtId="165" fontId="7" fillId="0" borderId="0" xfId="0" applyNumberFormat="1" applyFont="1"/>
    <xf numFmtId="166" fontId="6" fillId="0" borderId="0" xfId="0" applyNumberFormat="1" applyFont="1"/>
    <xf numFmtId="0" fontId="8" fillId="0" borderId="0" xfId="0" applyFont="1"/>
    <xf numFmtId="0" fontId="9" fillId="0" borderId="0" xfId="0" applyFont="1"/>
    <xf numFmtId="167" fontId="5" fillId="0" borderId="4" xfId="0" applyNumberFormat="1" applyFont="1" applyBorder="1" applyAlignment="1">
      <alignment horizontal="right"/>
    </xf>
    <xf numFmtId="167" fontId="5" fillId="2" borderId="4" xfId="0" applyNumberFormat="1" applyFont="1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168" fontId="5" fillId="0" borderId="5" xfId="0" applyNumberFormat="1" applyFont="1" applyBorder="1"/>
    <xf numFmtId="168" fontId="6" fillId="0" borderId="0" xfId="0" applyNumberFormat="1" applyFont="1"/>
    <xf numFmtId="166" fontId="5" fillId="0" borderId="0" xfId="0" applyNumberFormat="1" applyFont="1"/>
    <xf numFmtId="166" fontId="5" fillId="0" borderId="5" xfId="0" applyNumberFormat="1" applyFont="1" applyBorder="1"/>
    <xf numFmtId="168" fontId="1" fillId="0" borderId="0" xfId="0" applyNumberFormat="1" applyFont="1"/>
    <xf numFmtId="166" fontId="1" fillId="0" borderId="0" xfId="0" applyNumberFormat="1" applyFont="1"/>
    <xf numFmtId="169" fontId="6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5" fontId="12" fillId="0" borderId="0" xfId="0" applyNumberFormat="1" applyFont="1"/>
    <xf numFmtId="165" fontId="12" fillId="0" borderId="3" xfId="0" applyNumberFormat="1" applyFont="1" applyBorder="1"/>
    <xf numFmtId="165" fontId="12" fillId="0" borderId="4" xfId="0" applyNumberFormat="1" applyFont="1" applyBorder="1"/>
    <xf numFmtId="166" fontId="11" fillId="0" borderId="0" xfId="0" applyNumberFormat="1" applyFont="1"/>
    <xf numFmtId="168" fontId="11" fillId="0" borderId="0" xfId="0" applyNumberFormat="1" applyFont="1"/>
    <xf numFmtId="165" fontId="13" fillId="0" borderId="0" xfId="0" applyNumberFormat="1" applyFont="1"/>
    <xf numFmtId="165" fontId="13" fillId="0" borderId="3" xfId="0" applyNumberFormat="1" applyFont="1" applyBorder="1"/>
    <xf numFmtId="0" fontId="14" fillId="0" borderId="0" xfId="0" applyFont="1"/>
    <xf numFmtId="165" fontId="15" fillId="0" borderId="0" xfId="0" applyNumberFormat="1" applyFont="1"/>
    <xf numFmtId="167" fontId="5" fillId="0" borderId="7" xfId="0" applyNumberFormat="1" applyFont="1" applyBorder="1" applyAlignment="1">
      <alignment horizontal="right"/>
    </xf>
    <xf numFmtId="0" fontId="1" fillId="0" borderId="8" xfId="0" applyFont="1" applyBorder="1"/>
    <xf numFmtId="165" fontId="11" fillId="0" borderId="8" xfId="0" applyNumberFormat="1" applyFont="1" applyBorder="1"/>
    <xf numFmtId="165" fontId="12" fillId="0" borderId="6" xfId="0" applyNumberFormat="1" applyFont="1" applyBorder="1"/>
    <xf numFmtId="165" fontId="12" fillId="0" borderId="7" xfId="0" applyNumberFormat="1" applyFont="1" applyBorder="1"/>
    <xf numFmtId="166" fontId="11" fillId="0" borderId="8" xfId="0" applyNumberFormat="1" applyFont="1" applyBorder="1"/>
    <xf numFmtId="168" fontId="11" fillId="0" borderId="8" xfId="0" applyNumberFormat="1" applyFont="1" applyBorder="1"/>
    <xf numFmtId="165" fontId="1" fillId="0" borderId="8" xfId="0" applyNumberFormat="1" applyFont="1" applyBorder="1"/>
    <xf numFmtId="165" fontId="15" fillId="0" borderId="8" xfId="0" applyNumberFormat="1" applyFont="1" applyBorder="1"/>
    <xf numFmtId="168" fontId="10" fillId="0" borderId="0" xfId="0" applyNumberFormat="1" applyFont="1"/>
    <xf numFmtId="166" fontId="10" fillId="0" borderId="0" xfId="0" applyNumberFormat="1" applyFont="1"/>
    <xf numFmtId="165" fontId="16" fillId="0" borderId="3" xfId="0" applyNumberFormat="1" applyFont="1" applyBorder="1"/>
    <xf numFmtId="166" fontId="12" fillId="0" borderId="0" xfId="0" applyNumberFormat="1" applyFont="1"/>
    <xf numFmtId="166" fontId="13" fillId="0" borderId="0" xfId="0" applyNumberFormat="1" applyFont="1"/>
    <xf numFmtId="164" fontId="5" fillId="0" borderId="2" xfId="0" applyNumberFormat="1" applyFont="1" applyBorder="1"/>
    <xf numFmtId="167" fontId="5" fillId="0" borderId="2" xfId="0" applyNumberFormat="1" applyFont="1" applyBorder="1"/>
    <xf numFmtId="170" fontId="1" fillId="0" borderId="0" xfId="0" applyNumberFormat="1" applyFont="1" applyAlignment="1">
      <alignment horizontal="right"/>
    </xf>
    <xf numFmtId="170" fontId="5" fillId="0" borderId="9" xfId="0" applyNumberFormat="1" applyFont="1" applyBorder="1"/>
    <xf numFmtId="168" fontId="17" fillId="0" borderId="0" xfId="0" applyNumberFormat="1" applyFont="1"/>
    <xf numFmtId="166" fontId="17" fillId="0" borderId="0" xfId="0" applyNumberFormat="1" applyFont="1"/>
    <xf numFmtId="165" fontId="6" fillId="3" borderId="0" xfId="0" applyNumberFormat="1" applyFont="1" applyFill="1"/>
    <xf numFmtId="0" fontId="5" fillId="0" borderId="0" xfId="0" applyFont="1" applyAlignment="1">
      <alignment horizontal="right"/>
    </xf>
    <xf numFmtId="0" fontId="1" fillId="0" borderId="3" xfId="0" applyFont="1" applyBorder="1"/>
    <xf numFmtId="0" fontId="1" fillId="0" borderId="10" xfId="0" applyFont="1" applyBorder="1"/>
    <xf numFmtId="170" fontId="1" fillId="0" borderId="10" xfId="0" applyNumberFormat="1" applyFont="1" applyBorder="1" applyAlignment="1">
      <alignment horizontal="right"/>
    </xf>
    <xf numFmtId="0" fontId="1" fillId="0" borderId="11" xfId="0" applyFont="1" applyBorder="1"/>
    <xf numFmtId="170" fontId="1" fillId="0" borderId="11" xfId="0" applyNumberFormat="1" applyFont="1" applyBorder="1" applyAlignment="1">
      <alignment horizontal="right"/>
    </xf>
    <xf numFmtId="0" fontId="1" fillId="0" borderId="12" xfId="0" applyFont="1" applyBorder="1"/>
    <xf numFmtId="170" fontId="1" fillId="0" borderId="12" xfId="0" applyNumberFormat="1" applyFont="1" applyBorder="1" applyAlignment="1">
      <alignment horizontal="right"/>
    </xf>
    <xf numFmtId="171" fontId="6" fillId="0" borderId="13" xfId="0" applyNumberFormat="1" applyFont="1" applyBorder="1" applyAlignment="1">
      <alignment horizontal="right"/>
    </xf>
    <xf numFmtId="171" fontId="10" fillId="0" borderId="0" xfId="0" applyNumberFormat="1" applyFont="1" applyAlignment="1">
      <alignment horizontal="right"/>
    </xf>
    <xf numFmtId="172" fontId="1" fillId="0" borderId="0" xfId="0" applyNumberFormat="1" applyFont="1"/>
    <xf numFmtId="172" fontId="1" fillId="0" borderId="0" xfId="0" applyNumberFormat="1" applyFont="1" applyAlignment="1">
      <alignment horizontal="right"/>
    </xf>
    <xf numFmtId="172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right"/>
    </xf>
    <xf numFmtId="172" fontId="6" fillId="0" borderId="14" xfId="0" applyNumberFormat="1" applyFont="1" applyBorder="1" applyAlignment="1">
      <alignment horizontal="right"/>
    </xf>
    <xf numFmtId="172" fontId="10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3" xfId="0" applyNumberFormat="1" applyFont="1" applyBorder="1" applyAlignment="1">
      <alignment horizontal="right"/>
    </xf>
    <xf numFmtId="2" fontId="6" fillId="0" borderId="14" xfId="0" applyNumberFormat="1" applyFont="1" applyBorder="1" applyAlignment="1">
      <alignment horizontal="right"/>
    </xf>
    <xf numFmtId="166" fontId="6" fillId="0" borderId="14" xfId="0" applyNumberFormat="1" applyFont="1" applyBorder="1" applyAlignment="1">
      <alignment horizontal="right"/>
    </xf>
    <xf numFmtId="166" fontId="11" fillId="0" borderId="0" xfId="0" applyNumberFormat="1" applyFont="1" applyAlignment="1">
      <alignment horizontal="right"/>
    </xf>
    <xf numFmtId="166" fontId="12" fillId="0" borderId="14" xfId="0" applyNumberFormat="1" applyFont="1" applyBorder="1" applyAlignment="1">
      <alignment horizontal="right"/>
    </xf>
    <xf numFmtId="166" fontId="6" fillId="3" borderId="13" xfId="0" applyNumberFormat="1" applyFont="1" applyFill="1" applyBorder="1" applyAlignment="1">
      <alignment horizontal="right"/>
    </xf>
    <xf numFmtId="49" fontId="11" fillId="0" borderId="0" xfId="0" applyNumberFormat="1" applyFont="1" applyAlignment="1">
      <alignment horizontal="right"/>
    </xf>
    <xf numFmtId="172" fontId="10" fillId="0" borderId="0" xfId="0" applyNumberFormat="1" applyFont="1"/>
    <xf numFmtId="172" fontId="11" fillId="0" borderId="0" xfId="0" applyNumberFormat="1" applyFont="1"/>
    <xf numFmtId="172" fontId="12" fillId="0" borderId="0" xfId="0" applyNumberFormat="1" applyFont="1"/>
    <xf numFmtId="173" fontId="11" fillId="0" borderId="0" xfId="0" applyNumberFormat="1" applyFont="1"/>
    <xf numFmtId="174" fontId="11" fillId="0" borderId="0" xfId="0" applyNumberFormat="1" applyFont="1"/>
    <xf numFmtId="165" fontId="1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165" fontId="12" fillId="0" borderId="3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/>
    </xf>
    <xf numFmtId="172" fontId="11" fillId="0" borderId="0" xfId="0" applyNumberFormat="1" applyFont="1" applyAlignment="1">
      <alignment horizontal="right"/>
    </xf>
    <xf numFmtId="168" fontId="12" fillId="0" borderId="3" xfId="0" applyNumberFormat="1" applyFont="1" applyBorder="1" applyAlignment="1">
      <alignment horizontal="right"/>
    </xf>
    <xf numFmtId="175" fontId="1" fillId="0" borderId="0" xfId="0" applyNumberFormat="1" applyFont="1" applyAlignment="1">
      <alignment horizontal="right"/>
    </xf>
    <xf numFmtId="175" fontId="11" fillId="0" borderId="0" xfId="0" applyNumberFormat="1" applyFont="1" applyAlignment="1">
      <alignment horizontal="right"/>
    </xf>
    <xf numFmtId="0" fontId="19" fillId="0" borderId="0" xfId="0" applyFont="1"/>
    <xf numFmtId="172" fontId="5" fillId="3" borderId="0" xfId="0" applyNumberFormat="1" applyFont="1" applyFill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3" borderId="0" xfId="0" applyNumberFormat="1" applyFont="1" applyFill="1" applyAlignment="1">
      <alignment horizontal="right"/>
    </xf>
    <xf numFmtId="0" fontId="5" fillId="0" borderId="1" xfId="0" applyFont="1" applyBorder="1"/>
    <xf numFmtId="0" fontId="5" fillId="0" borderId="2" xfId="0" applyFont="1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72" fontId="12" fillId="2" borderId="0" xfId="0" applyNumberFormat="1" applyFont="1" applyFill="1" applyAlignment="1">
      <alignment horizontal="right"/>
    </xf>
    <xf numFmtId="172" fontId="13" fillId="2" borderId="0" xfId="0" applyNumberFormat="1" applyFont="1" applyFill="1" applyAlignment="1">
      <alignment horizontal="right"/>
    </xf>
    <xf numFmtId="165" fontId="13" fillId="2" borderId="0" xfId="0" applyNumberFormat="1" applyFont="1" applyFill="1" applyAlignment="1">
      <alignment horizontal="right"/>
    </xf>
    <xf numFmtId="172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172" fontId="16" fillId="2" borderId="0" xfId="0" applyNumberFormat="1" applyFont="1" applyFill="1" applyAlignment="1">
      <alignment horizontal="right"/>
    </xf>
    <xf numFmtId="177" fontId="1" fillId="0" borderId="0" xfId="0" applyNumberFormat="1" applyFont="1" applyAlignment="1">
      <alignment horizontal="right"/>
    </xf>
    <xf numFmtId="177" fontId="18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center"/>
    </xf>
    <xf numFmtId="177" fontId="5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166" fontId="16" fillId="2" borderId="0" xfId="0" applyNumberFormat="1" applyFont="1" applyFill="1" applyAlignment="1">
      <alignment horizontal="right"/>
    </xf>
    <xf numFmtId="166" fontId="13" fillId="2" borderId="0" xfId="0" applyNumberFormat="1" applyFont="1" applyFill="1" applyAlignment="1">
      <alignment horizontal="right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77" fontId="5" fillId="0" borderId="3" xfId="0" applyNumberFormat="1" applyFont="1" applyBorder="1" applyAlignment="1">
      <alignment horizontal="right"/>
    </xf>
    <xf numFmtId="166" fontId="5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77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72" fontId="6" fillId="3" borderId="0" xfId="0" applyNumberFormat="1" applyFont="1" applyFill="1" applyAlignment="1">
      <alignment horizontal="right"/>
    </xf>
    <xf numFmtId="165" fontId="10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8" fontId="5" fillId="0" borderId="0" xfId="0" applyNumberFormat="1" applyFont="1" applyAlignment="1">
      <alignment horizontal="right"/>
    </xf>
    <xf numFmtId="175" fontId="6" fillId="0" borderId="0" xfId="0" applyNumberFormat="1" applyFont="1" applyAlignment="1">
      <alignment horizontal="right"/>
    </xf>
    <xf numFmtId="175" fontId="5" fillId="3" borderId="0" xfId="0" applyNumberFormat="1" applyFont="1" applyFill="1" applyAlignment="1">
      <alignment horizontal="right"/>
    </xf>
    <xf numFmtId="172" fontId="5" fillId="3" borderId="0" xfId="0" applyNumberFormat="1" applyFont="1" applyFill="1" applyAlignment="1">
      <alignment horizontal="right"/>
    </xf>
    <xf numFmtId="168" fontId="5" fillId="3" borderId="0" xfId="0" applyNumberFormat="1" applyFont="1" applyFill="1" applyAlignment="1">
      <alignment horizontal="right"/>
    </xf>
    <xf numFmtId="170" fontId="5" fillId="0" borderId="3" xfId="0" applyNumberFormat="1" applyFont="1" applyBorder="1" applyAlignment="1">
      <alignment horizontal="right"/>
    </xf>
    <xf numFmtId="172" fontId="10" fillId="3" borderId="14" xfId="0" applyNumberFormat="1" applyFont="1" applyFill="1" applyBorder="1" applyAlignment="1">
      <alignment horizontal="right"/>
    </xf>
    <xf numFmtId="172" fontId="11" fillId="0" borderId="13" xfId="0" applyNumberFormat="1" applyFont="1" applyBorder="1" applyAlignment="1">
      <alignment horizontal="right"/>
    </xf>
    <xf numFmtId="0" fontId="20" fillId="0" borderId="0" xfId="1" applyFont="1"/>
    <xf numFmtId="0" fontId="21" fillId="0" borderId="0" xfId="0" applyFont="1"/>
    <xf numFmtId="168" fontId="5" fillId="0" borderId="2" xfId="0" applyNumberFormat="1" applyFont="1" applyBorder="1" applyAlignment="1">
      <alignment horizontal="right"/>
    </xf>
    <xf numFmtId="168" fontId="5" fillId="0" borderId="15" xfId="0" applyNumberFormat="1" applyFont="1" applyBorder="1"/>
    <xf numFmtId="168" fontId="6" fillId="0" borderId="0" xfId="0" applyNumberFormat="1" applyFont="1" applyAlignment="1">
      <alignment horizontal="right"/>
    </xf>
    <xf numFmtId="0" fontId="22" fillId="4" borderId="0" xfId="0" applyFont="1" applyFill="1"/>
    <xf numFmtId="0" fontId="23" fillId="4" borderId="0" xfId="0" applyFont="1" applyFill="1"/>
    <xf numFmtId="0" fontId="23" fillId="4" borderId="8" xfId="0" applyFont="1" applyFill="1" applyBorder="1"/>
    <xf numFmtId="0" fontId="24" fillId="4" borderId="0" xfId="0" applyFont="1" applyFill="1"/>
    <xf numFmtId="0" fontId="25" fillId="4" borderId="0" xfId="0" applyFont="1" applyFill="1" applyAlignment="1">
      <alignment horizontal="right"/>
    </xf>
    <xf numFmtId="0" fontId="26" fillId="4" borderId="0" xfId="0" applyFont="1" applyFill="1"/>
    <xf numFmtId="0" fontId="25" fillId="4" borderId="0" xfId="0" applyFont="1" applyFill="1"/>
    <xf numFmtId="0" fontId="27" fillId="0" borderId="0" xfId="0" applyFont="1"/>
    <xf numFmtId="0" fontId="5" fillId="5" borderId="0" xfId="0" applyFont="1" applyFill="1"/>
    <xf numFmtId="172" fontId="12" fillId="5" borderId="9" xfId="0" applyNumberFormat="1" applyFont="1" applyFill="1" applyBorder="1" applyAlignment="1">
      <alignment horizontal="right"/>
    </xf>
    <xf numFmtId="172" fontId="5" fillId="5" borderId="16" xfId="0" applyNumberFormat="1" applyFont="1" applyFill="1" applyBorder="1" applyAlignment="1">
      <alignment horizontal="right"/>
    </xf>
    <xf numFmtId="0" fontId="28" fillId="0" borderId="0" xfId="0" applyFont="1" applyFill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9C1D26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Net Interest Income vs Net Profit (INR crore)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9C1D26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NII</c:v>
          </c:tx>
          <c:spPr>
            <a:solidFill>
              <a:srgbClr val="9C1D26"/>
            </a:solidFill>
            <a:ln>
              <a:solidFill>
                <a:srgbClr val="9C1D26"/>
              </a:solidFill>
              <a:prstDash val="solid"/>
            </a:ln>
            <a:effectLst/>
          </c:spPr>
          <c:invertIfNegative val="0"/>
          <c:cat>
            <c:numRef>
              <c:f>Outputs!$F$5:$O$5</c:f>
              <c:numCache>
                <c:formatCode>0"A"</c:formatCod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 formatCode="0&quot;F&quot;">
                  <c:v>2027</c:v>
                </c:pt>
                <c:pt idx="6" formatCode="0&quot;F&quot;">
                  <c:v>2028</c:v>
                </c:pt>
                <c:pt idx="7" formatCode="0&quot;F&quot;">
                  <c:v>2029</c:v>
                </c:pt>
                <c:pt idx="8" formatCode="0&quot;F&quot;">
                  <c:v>2030</c:v>
                </c:pt>
                <c:pt idx="9" formatCode="0&quot;F&quot;">
                  <c:v>2031</c:v>
                </c:pt>
              </c:numCache>
            </c:numRef>
          </c:cat>
          <c:val>
            <c:numRef>
              <c:f>Outputs!$F$9:$O$9</c:f>
              <c:numCache>
                <c:formatCode>_(#,##0_);\(#,##0\);_("–"_);_(@_)</c:formatCode>
                <c:ptCount val="10"/>
                <c:pt idx="0">
                  <c:v>9706.1600000000035</c:v>
                </c:pt>
                <c:pt idx="1">
                  <c:v>12635.330000000002</c:v>
                </c:pt>
                <c:pt idx="2">
                  <c:v>16450.749999999996</c:v>
                </c:pt>
                <c:pt idx="3">
                  <c:v>19291.970000000005</c:v>
                </c:pt>
                <c:pt idx="4">
                  <c:v>21215.27</c:v>
                </c:pt>
                <c:pt idx="5">
                  <c:v>25487.517510800008</c:v>
                </c:pt>
                <c:pt idx="6">
                  <c:v>30364.914779123508</c:v>
                </c:pt>
                <c:pt idx="7">
                  <c:v>35878.575538131263</c:v>
                </c:pt>
                <c:pt idx="8">
                  <c:v>41844.27295240511</c:v>
                </c:pt>
                <c:pt idx="9">
                  <c:v>49560.942493442199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7-6A43-A244-89EC69F2DC18}"/>
            </c:ext>
          </c:extLst>
        </c:ser>
        <c:ser>
          <c:idx val="1"/>
          <c:order val="1"/>
          <c:tx>
            <c:v>PAT</c:v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  <a:effectLst/>
          </c:spPr>
          <c:invertIfNegative val="0"/>
          <c:cat>
            <c:numRef>
              <c:f>Outputs!$F$5:$O$5</c:f>
              <c:numCache>
                <c:formatCode>0"A"</c:formatCod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 formatCode="0&quot;F&quot;">
                  <c:v>2027</c:v>
                </c:pt>
                <c:pt idx="6" formatCode="0&quot;F&quot;">
                  <c:v>2028</c:v>
                </c:pt>
                <c:pt idx="7" formatCode="0&quot;F&quot;">
                  <c:v>2029</c:v>
                </c:pt>
                <c:pt idx="8" formatCode="0&quot;F&quot;">
                  <c:v>2030</c:v>
                </c:pt>
                <c:pt idx="9" formatCode="0&quot;F&quot;">
                  <c:v>2031</c:v>
                </c:pt>
              </c:numCache>
            </c:numRef>
          </c:cat>
          <c:val>
            <c:numRef>
              <c:f>Outputs!$F$13:$O$13</c:f>
              <c:numCache>
                <c:formatCode>_(#,##0_);\(#,##0\);_("–"_);_(@_)</c:formatCode>
                <c:ptCount val="10"/>
                <c:pt idx="0">
                  <c:v>145.4900000000037</c:v>
                </c:pt>
                <c:pt idx="1">
                  <c:v>2437.1300000000028</c:v>
                </c:pt>
                <c:pt idx="2">
                  <c:v>2956.5099999999975</c:v>
                </c:pt>
                <c:pt idx="3">
                  <c:v>1524.8500000000026</c:v>
                </c:pt>
                <c:pt idx="4">
                  <c:v>1636.3600000000004</c:v>
                </c:pt>
                <c:pt idx="5">
                  <c:v>3322.8056920766462</c:v>
                </c:pt>
                <c:pt idx="6">
                  <c:v>5197.439357345922</c:v>
                </c:pt>
                <c:pt idx="7">
                  <c:v>7159.5872808461136</c:v>
                </c:pt>
                <c:pt idx="8">
                  <c:v>9398.351278586917</c:v>
                </c:pt>
                <c:pt idx="9">
                  <c:v>12537.021508069502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7-6A43-A244-89EC69F2D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639488"/>
        <c:axId val="1094646656"/>
      </c:barChart>
      <c:catAx>
        <c:axId val="1094639488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46656"/>
        <c:crosses val="autoZero"/>
        <c:auto val="1"/>
        <c:lblAlgn val="ctr"/>
        <c:lblOffset val="100"/>
        <c:noMultiLvlLbl val="0"/>
      </c:catAx>
      <c:valAx>
        <c:axId val="10946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6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9C1D26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Net Advances vs Deposits (INR crore)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9C1D26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Advances</c:v>
          </c:tx>
          <c:spPr>
            <a:solidFill>
              <a:srgbClr val="9C1D26"/>
            </a:solidFill>
            <a:ln>
              <a:solidFill>
                <a:srgbClr val="9C1D26"/>
              </a:solidFill>
              <a:prstDash val="solid"/>
            </a:ln>
            <a:effectLst/>
          </c:spPr>
          <c:invertIfNegative val="0"/>
          <c:cat>
            <c:numRef>
              <c:f>Outputs!$F$5:$O$5</c:f>
              <c:numCache>
                <c:formatCode>0"A"</c:formatCod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 formatCode="0&quot;F&quot;">
                  <c:v>2027</c:v>
                </c:pt>
                <c:pt idx="6" formatCode="0&quot;F&quot;">
                  <c:v>2028</c:v>
                </c:pt>
                <c:pt idx="7" formatCode="0&quot;F&quot;">
                  <c:v>2029</c:v>
                </c:pt>
                <c:pt idx="8" formatCode="0&quot;F&quot;">
                  <c:v>2030</c:v>
                </c:pt>
                <c:pt idx="9" formatCode="0&quot;F&quot;">
                  <c:v>2031</c:v>
                </c:pt>
              </c:numCache>
            </c:numRef>
          </c:cat>
          <c:val>
            <c:numRef>
              <c:f>Outputs!$F$16:$O$16</c:f>
              <c:numCache>
                <c:formatCode>_(#,##0_);\(#,##0\);_("–"_);_(@_)</c:formatCode>
                <c:ptCount val="10"/>
                <c:pt idx="0">
                  <c:v>117857.8</c:v>
                </c:pt>
                <c:pt idx="1">
                  <c:v>151794.53</c:v>
                </c:pt>
                <c:pt idx="2">
                  <c:v>194592.37</c:v>
                </c:pt>
                <c:pt idx="3">
                  <c:v>233112.53</c:v>
                </c:pt>
                <c:pt idx="4">
                  <c:v>280390.59999999998</c:v>
                </c:pt>
                <c:pt idx="5">
                  <c:v>336468.72</c:v>
                </c:pt>
                <c:pt idx="6">
                  <c:v>403762.46399999998</c:v>
                </c:pt>
                <c:pt idx="7">
                  <c:v>480477.33215999993</c:v>
                </c:pt>
                <c:pt idx="8">
                  <c:v>566963.25194879994</c:v>
                </c:pt>
                <c:pt idx="9">
                  <c:v>663347.00478009589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E-5045-B19C-2F779B633AE1}"/>
            </c:ext>
          </c:extLst>
        </c:ser>
        <c:ser>
          <c:idx val="1"/>
          <c:order val="1"/>
          <c:tx>
            <c:v>Deposits</c:v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  <a:effectLst/>
          </c:spPr>
          <c:invertIfNegative val="0"/>
          <c:cat>
            <c:numRef>
              <c:f>Outputs!$F$5:$O$5</c:f>
              <c:numCache>
                <c:formatCode>0"A"</c:formatCode>
                <c:ptCount val="10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 formatCode="0&quot;F&quot;">
                  <c:v>2027</c:v>
                </c:pt>
                <c:pt idx="6" formatCode="0&quot;F&quot;">
                  <c:v>2028</c:v>
                </c:pt>
                <c:pt idx="7" formatCode="0&quot;F&quot;">
                  <c:v>2029</c:v>
                </c:pt>
                <c:pt idx="8" formatCode="0&quot;F&quot;">
                  <c:v>2030</c:v>
                </c:pt>
                <c:pt idx="9" formatCode="0&quot;F&quot;">
                  <c:v>2031</c:v>
                </c:pt>
              </c:numCache>
            </c:numRef>
          </c:cat>
          <c:val>
            <c:numRef>
              <c:f>Outputs!$F$17:$O$17</c:f>
              <c:numCache>
                <c:formatCode>_(#,##0_);\(#,##0\);_("–"_);_(@_)</c:formatCode>
                <c:ptCount val="10"/>
                <c:pt idx="0">
                  <c:v>105634.36</c:v>
                </c:pt>
                <c:pt idx="1">
                  <c:v>144637.31</c:v>
                </c:pt>
                <c:pt idx="2">
                  <c:v>200576.31</c:v>
                </c:pt>
                <c:pt idx="3">
                  <c:v>252065.25</c:v>
                </c:pt>
                <c:pt idx="4">
                  <c:v>294474.55</c:v>
                </c:pt>
                <c:pt idx="5">
                  <c:v>359258.951</c:v>
                </c:pt>
                <c:pt idx="6">
                  <c:v>434703.33071000001</c:v>
                </c:pt>
                <c:pt idx="7">
                  <c:v>521643.99685200001</c:v>
                </c:pt>
                <c:pt idx="8">
                  <c:v>620756.35625387996</c:v>
                </c:pt>
                <c:pt idx="9">
                  <c:v>732492.50037957833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E-5045-B19C-2F779B633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59168"/>
        <c:axId val="1106976192"/>
      </c:barChart>
      <c:catAx>
        <c:axId val="1087159168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76192"/>
        <c:crosses val="autoZero"/>
        <c:auto val="1"/>
        <c:lblAlgn val="ctr"/>
        <c:lblOffset val="100"/>
        <c:noMultiLvlLbl val="0"/>
      </c:catAx>
      <c:valAx>
        <c:axId val="11069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9C1D26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RoA, RoE and CRAR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9C1D26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RoA</c:v>
          </c:tx>
          <c:spPr>
            <a:ln w="28575" cap="rnd">
              <a:solidFill>
                <a:srgbClr val="9C1D2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C1D26"/>
              </a:solidFill>
              <a:ln w="9525">
                <a:solidFill>
                  <a:srgbClr val="9C1D26"/>
                </a:solidFill>
                <a:prstDash val="solid"/>
              </a:ln>
              <a:effectLst/>
            </c:spPr>
          </c:marker>
          <c:cat>
            <c:numRef>
              <c:f>Outputs!$G$5:$O$5</c:f>
              <c:numCache>
                <c:formatCode>0"A"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 formatCode="0&quot;F&quot;">
                  <c:v>2027</c:v>
                </c:pt>
                <c:pt idx="5" formatCode="0&quot;F&quot;">
                  <c:v>2028</c:v>
                </c:pt>
                <c:pt idx="6" formatCode="0&quot;F&quot;">
                  <c:v>2029</c:v>
                </c:pt>
                <c:pt idx="7" formatCode="0&quot;F&quot;">
                  <c:v>2030</c:v>
                </c:pt>
                <c:pt idx="8" formatCode="0&quot;F&quot;">
                  <c:v>2031</c:v>
                </c:pt>
              </c:numCache>
            </c:numRef>
          </c:cat>
          <c:val>
            <c:numRef>
              <c:f>Outputs!$G$25:$O$25</c:f>
              <c:numCache>
                <c:formatCode>_(#,##0.00%_);\(#,##0.00%\);_("–"_)_%;_(@_)_%</c:formatCode>
                <c:ptCount val="9"/>
                <c:pt idx="0">
                  <c:v>1.1332239708863009E-2</c:v>
                </c:pt>
                <c:pt idx="1">
                  <c:v>1.1030585641714498E-2</c:v>
                </c:pt>
                <c:pt idx="2">
                  <c:v>4.7656495691936942E-3</c:v>
                </c:pt>
                <c:pt idx="3">
                  <c:v>4.4011908895918786E-3</c:v>
                </c:pt>
                <c:pt idx="4">
                  <c:v>7.5882618575782651E-3</c:v>
                </c:pt>
                <c:pt idx="5">
                  <c:v>9.9024944555414374E-3</c:v>
                </c:pt>
                <c:pt idx="6">
                  <c:v>1.1406010992750897E-2</c:v>
                </c:pt>
                <c:pt idx="7">
                  <c:v>1.2607845513089164E-2</c:v>
                </c:pt>
                <c:pt idx="8">
                  <c:v>1.4279140492146073E-2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E-0642-A146-274B24EFE4E3}"/>
            </c:ext>
          </c:extLst>
        </c:ser>
        <c:ser>
          <c:idx val="1"/>
          <c:order val="1"/>
          <c:tx>
            <c:v>RoE</c:v>
          </c:tx>
          <c:spPr>
            <a:ln w="28575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  <a:prstDash val="solid"/>
              </a:ln>
              <a:effectLst/>
            </c:spPr>
          </c:marker>
          <c:cat>
            <c:numRef>
              <c:f>Outputs!$G$5:$O$5</c:f>
              <c:numCache>
                <c:formatCode>0"A"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 formatCode="0&quot;F&quot;">
                  <c:v>2027</c:v>
                </c:pt>
                <c:pt idx="5" formatCode="0&quot;F&quot;">
                  <c:v>2028</c:v>
                </c:pt>
                <c:pt idx="6" formatCode="0&quot;F&quot;">
                  <c:v>2029</c:v>
                </c:pt>
                <c:pt idx="7" formatCode="0&quot;F&quot;">
                  <c:v>2030</c:v>
                </c:pt>
                <c:pt idx="8" formatCode="0&quot;F&quot;">
                  <c:v>2031</c:v>
                </c:pt>
              </c:numCache>
            </c:numRef>
          </c:cat>
          <c:val>
            <c:numRef>
              <c:f>Outputs!$G$26:$O$26</c:f>
              <c:numCache>
                <c:formatCode>_(#,##0.0%_);\(#,##0.0%\);_("–"_)_%;_(@_)_%</c:formatCode>
                <c:ptCount val="9"/>
                <c:pt idx="0">
                  <c:v>0.10431881244696335</c:v>
                </c:pt>
                <c:pt idx="1">
                  <c:v>0.1021556090893133</c:v>
                </c:pt>
                <c:pt idx="2">
                  <c:v>4.3418706704265821E-2</c:v>
                </c:pt>
                <c:pt idx="3">
                  <c:v>3.8308862570736416E-2</c:v>
                </c:pt>
                <c:pt idx="4">
                  <c:v>6.7943086895293145E-2</c:v>
                </c:pt>
                <c:pt idx="5">
                  <c:v>9.189393420037012E-2</c:v>
                </c:pt>
                <c:pt idx="6">
                  <c:v>0.10872799843843635</c:v>
                </c:pt>
                <c:pt idx="7">
                  <c:v>0.12018229121335781</c:v>
                </c:pt>
                <c:pt idx="8">
                  <c:v>0.13491310369148113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E-0642-A146-274B24EFE4E3}"/>
            </c:ext>
          </c:extLst>
        </c:ser>
        <c:ser>
          <c:idx val="2"/>
          <c:order val="2"/>
          <c:tx>
            <c:v>CRAR</c:v>
          </c:tx>
          <c:spPr>
            <a:ln w="28575" cap="rnd">
              <a:solidFill>
                <a:srgbClr val="D98C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98C93"/>
              </a:solidFill>
              <a:ln w="9525">
                <a:solidFill>
                  <a:srgbClr val="D98C93"/>
                </a:solidFill>
                <a:prstDash val="solid"/>
              </a:ln>
              <a:effectLst/>
            </c:spPr>
          </c:marker>
          <c:cat>
            <c:numRef>
              <c:f>Outputs!$G$5:$O$5</c:f>
              <c:numCache>
                <c:formatCode>0"A"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 formatCode="0&quot;F&quot;">
                  <c:v>2027</c:v>
                </c:pt>
                <c:pt idx="5" formatCode="0&quot;F&quot;">
                  <c:v>2028</c:v>
                </c:pt>
                <c:pt idx="6" formatCode="0&quot;F&quot;">
                  <c:v>2029</c:v>
                </c:pt>
                <c:pt idx="7" formatCode="0&quot;F&quot;">
                  <c:v>2030</c:v>
                </c:pt>
                <c:pt idx="8" formatCode="0&quot;F&quot;">
                  <c:v>2031</c:v>
                </c:pt>
              </c:numCache>
            </c:numRef>
          </c:cat>
          <c:val>
            <c:numRef>
              <c:f>Outputs!$G$31:$O$31</c:f>
              <c:numCache>
                <c:formatCode>_(#,##0.00%_);\(#,##0.00%\);_("–"_)_%;_(@_)_%</c:formatCode>
                <c:ptCount val="9"/>
                <c:pt idx="0">
                  <c:v>0.16819999999999999</c:v>
                </c:pt>
                <c:pt idx="1">
                  <c:v>0.16109999999999999</c:v>
                </c:pt>
                <c:pt idx="2">
                  <c:v>0.15479999999999999</c:v>
                </c:pt>
                <c:pt idx="3">
                  <c:v>0.156</c:v>
                </c:pt>
                <c:pt idx="4">
                  <c:v>0.13801473742343465</c:v>
                </c:pt>
                <c:pt idx="5">
                  <c:v>0.13904607574308939</c:v>
                </c:pt>
                <c:pt idx="6">
                  <c:v>0.12782947785582793</c:v>
                </c:pt>
                <c:pt idx="7">
                  <c:v>0.13382284816796011</c:v>
                </c:pt>
                <c:pt idx="8">
                  <c:v>0.12793909714202972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E-0642-A146-274B24EF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444672"/>
        <c:axId val="1087446464"/>
      </c:lineChart>
      <c:catAx>
        <c:axId val="1087444672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46464"/>
        <c:crosses val="autoZero"/>
        <c:auto val="1"/>
        <c:lblAlgn val="ctr"/>
        <c:lblOffset val="100"/>
        <c:noMultiLvlLbl val="0"/>
      </c:catAx>
      <c:valAx>
        <c:axId val="10874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9C1D26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NIM, Credit Cost and Gross NPA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9C1D26"/>
              </a:solidFill>
              <a:latin typeface="Open Sans"/>
              <a:ea typeface="Open Sans"/>
              <a:cs typeface="Open San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NIM</c:v>
          </c:tx>
          <c:spPr>
            <a:ln w="28575" cap="rnd">
              <a:solidFill>
                <a:srgbClr val="9C1D2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C1D26"/>
              </a:solidFill>
              <a:ln w="9525">
                <a:solidFill>
                  <a:srgbClr val="9C1D26"/>
                </a:solidFill>
                <a:prstDash val="solid"/>
              </a:ln>
              <a:effectLst/>
            </c:spPr>
          </c:marker>
          <c:cat>
            <c:numRef>
              <c:f>Outputs!$G$5:$O$5</c:f>
              <c:numCache>
                <c:formatCode>0"A"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 formatCode="0&quot;F&quot;">
                  <c:v>2027</c:v>
                </c:pt>
                <c:pt idx="5" formatCode="0&quot;F&quot;">
                  <c:v>2028</c:v>
                </c:pt>
                <c:pt idx="6" formatCode="0&quot;F&quot;">
                  <c:v>2029</c:v>
                </c:pt>
                <c:pt idx="7" formatCode="0&quot;F&quot;">
                  <c:v>2030</c:v>
                </c:pt>
                <c:pt idx="8" formatCode="0&quot;F&quot;">
                  <c:v>2031</c:v>
                </c:pt>
              </c:numCache>
            </c:numRef>
          </c:cat>
          <c:val>
            <c:numRef>
              <c:f>Outputs!$G$22:$O$22</c:f>
              <c:numCache>
                <c:formatCode>_(#,##0.00%_);\(#,##0.00%\);_("–"_)_%;_(@_)_%</c:formatCode>
                <c:ptCount val="9"/>
                <c:pt idx="0">
                  <c:v>6.2154734486803594E-2</c:v>
                </c:pt>
                <c:pt idx="1">
                  <c:v>6.4690452307408136E-2</c:v>
                </c:pt>
                <c:pt idx="2">
                  <c:v>6.3178992238488704E-2</c:v>
                </c:pt>
                <c:pt idx="3">
                  <c:v>5.9926361988611877E-2</c:v>
                </c:pt>
                <c:pt idx="4">
                  <c:v>6.1242519921555494E-2</c:v>
                </c:pt>
                <c:pt idx="5">
                  <c:v>6.0726649338216476E-2</c:v>
                </c:pt>
                <c:pt idx="6">
                  <c:v>5.9955703030416536E-2</c:v>
                </c:pt>
                <c:pt idx="7">
                  <c:v>5.8846839198189747E-2</c:v>
                </c:pt>
                <c:pt idx="8">
                  <c:v>5.9148212209051615E-2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2-9F43-BD56-0D94331AD871}"/>
            </c:ext>
          </c:extLst>
        </c:ser>
        <c:ser>
          <c:idx val="1"/>
          <c:order val="1"/>
          <c:tx>
            <c:v>Credit Cost</c:v>
          </c:tx>
          <c:spPr>
            <a:ln w="28575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  <a:prstDash val="solid"/>
              </a:ln>
              <a:effectLst/>
            </c:spPr>
          </c:marker>
          <c:cat>
            <c:numRef>
              <c:f>Outputs!$G$5:$O$5</c:f>
              <c:numCache>
                <c:formatCode>0"A"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 formatCode="0&quot;F&quot;">
                  <c:v>2027</c:v>
                </c:pt>
                <c:pt idx="5" formatCode="0&quot;F&quot;">
                  <c:v>2028</c:v>
                </c:pt>
                <c:pt idx="6" formatCode="0&quot;F&quot;">
                  <c:v>2029</c:v>
                </c:pt>
                <c:pt idx="7" formatCode="0&quot;F&quot;">
                  <c:v>2030</c:v>
                </c:pt>
                <c:pt idx="8" formatCode="0&quot;F&quot;">
                  <c:v>2031</c:v>
                </c:pt>
              </c:numCache>
            </c:numRef>
          </c:cat>
          <c:val>
            <c:numRef>
              <c:f>Outputs!$G$24:$O$24</c:f>
              <c:numCache>
                <c:formatCode>_(#,##0.00%_);\(#,##0.00%\);_("–"_)_%;_(@_)_%</c:formatCode>
                <c:ptCount val="9"/>
                <c:pt idx="0">
                  <c:v>1.2347899979206557E-2</c:v>
                </c:pt>
                <c:pt idx="1">
                  <c:v>1.3751386094566508E-2</c:v>
                </c:pt>
                <c:pt idx="2">
                  <c:v>2.5787546506949064E-2</c:v>
                </c:pt>
                <c:pt idx="3">
                  <c:v>2.0948460431000685E-2</c:v>
                </c:pt>
                <c:pt idx="4">
                  <c:v>1.7500000000000002E-2</c:v>
                </c:pt>
                <c:pt idx="5">
                  <c:v>1.6500000000000001E-2</c:v>
                </c:pt>
                <c:pt idx="6">
                  <c:v>1.6E-2</c:v>
                </c:pt>
                <c:pt idx="7">
                  <c:v>1.55E-2</c:v>
                </c:pt>
                <c:pt idx="8">
                  <c:v>1.55E-2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2-9F43-BD56-0D94331AD871}"/>
            </c:ext>
          </c:extLst>
        </c:ser>
        <c:ser>
          <c:idx val="2"/>
          <c:order val="2"/>
          <c:tx>
            <c:v>GNPA Ratio</c:v>
          </c:tx>
          <c:spPr>
            <a:ln w="28575" cap="rnd">
              <a:solidFill>
                <a:srgbClr val="D98C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98C93"/>
              </a:solidFill>
              <a:ln w="9525">
                <a:solidFill>
                  <a:srgbClr val="D98C93"/>
                </a:solidFill>
                <a:prstDash val="solid"/>
              </a:ln>
              <a:effectLst/>
            </c:spPr>
          </c:marker>
          <c:cat>
            <c:numRef>
              <c:f>Outputs!$G$5:$O$5</c:f>
              <c:numCache>
                <c:formatCode>0"A"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 formatCode="0&quot;F&quot;">
                  <c:v>2027</c:v>
                </c:pt>
                <c:pt idx="5" formatCode="0&quot;F&quot;">
                  <c:v>2028</c:v>
                </c:pt>
                <c:pt idx="6" formatCode="0&quot;F&quot;">
                  <c:v>2029</c:v>
                </c:pt>
                <c:pt idx="7" formatCode="0&quot;F&quot;">
                  <c:v>2030</c:v>
                </c:pt>
                <c:pt idx="8" formatCode="0&quot;F&quot;">
                  <c:v>2031</c:v>
                </c:pt>
              </c:numCache>
            </c:numRef>
          </c:cat>
          <c:val>
            <c:numRef>
              <c:f>Outputs!$G$28:$O$28</c:f>
              <c:numCache>
                <c:formatCode>_(#,##0.00%_);\(#,##0.00%\);_("–"_)_%;_(@_)_%</c:formatCode>
                <c:ptCount val="9"/>
                <c:pt idx="0">
                  <c:v>2.5100000000000001E-2</c:v>
                </c:pt>
                <c:pt idx="1">
                  <c:v>1.8800000000000001E-2</c:v>
                </c:pt>
                <c:pt idx="2">
                  <c:v>1.8700000000000001E-2</c:v>
                </c:pt>
                <c:pt idx="3">
                  <c:v>1.61E-2</c:v>
                </c:pt>
                <c:pt idx="4">
                  <c:v>1.55E-2</c:v>
                </c:pt>
                <c:pt idx="5">
                  <c:v>1.4999999999999999E-2</c:v>
                </c:pt>
                <c:pt idx="6">
                  <c:v>1.4500000000000001E-2</c:v>
                </c:pt>
                <c:pt idx="7">
                  <c:v>1.4500000000000001E-2</c:v>
                </c:pt>
                <c:pt idx="8">
                  <c:v>1.4500000000000001E-2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2-9F43-BD56-0D94331AD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560256"/>
        <c:axId val="1087562048"/>
      </c:lineChart>
      <c:catAx>
        <c:axId val="1087560256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62048"/>
        <c:crosses val="autoZero"/>
        <c:auto val="1"/>
        <c:lblAlgn val="ctr"/>
        <c:lblOffset val="100"/>
        <c:noMultiLvlLbl val="0"/>
      </c:catAx>
      <c:valAx>
        <c:axId val="108756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6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32</xdr:row>
      <xdr:rowOff>38100</xdr:rowOff>
    </xdr:from>
    <xdr:to>
      <xdr:col>7</xdr:col>
      <xdr:colOff>25400</xdr:colOff>
      <xdr:row>47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531ED-8419-DF72-9FAC-FDF19135E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32</xdr:row>
      <xdr:rowOff>38100</xdr:rowOff>
    </xdr:from>
    <xdr:to>
      <xdr:col>14</xdr:col>
      <xdr:colOff>101600</xdr:colOff>
      <xdr:row>47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50833D-1153-25BE-D322-818909BAA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48</xdr:row>
      <xdr:rowOff>88900</xdr:rowOff>
    </xdr:from>
    <xdr:to>
      <xdr:col>7</xdr:col>
      <xdr:colOff>25400</xdr:colOff>
      <xdr:row>64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87FF20-3526-9ABE-3EB1-002F65CFB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48</xdr:row>
      <xdr:rowOff>88900</xdr:rowOff>
    </xdr:from>
    <xdr:to>
      <xdr:col>14</xdr:col>
      <xdr:colOff>101600</xdr:colOff>
      <xdr:row>64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DA622A-0B4C-09E3-8390-644E7AB09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D3E12D-2DC3-8C4A-82F8-346409701D8C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87ac6614-25a1-4099-8dd8-52714098465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4AA7-27E0-E549-9CAB-3A9A19A4692B}">
  <sheetPr>
    <tabColor rgb="FF9C1D26"/>
  </sheetPr>
  <dimension ref="A3:R38"/>
  <sheetViews>
    <sheetView showGridLines="0" workbookViewId="0">
      <selection activeCell="H3" sqref="H3"/>
    </sheetView>
  </sheetViews>
  <sheetFormatPr baseColWidth="10" defaultRowHeight="16" x14ac:dyDescent="0.2"/>
  <cols>
    <col min="1" max="1" width="2" style="1" customWidth="1"/>
    <col min="2" max="2" width="3.33203125" style="1" customWidth="1"/>
    <col min="3" max="3" width="43.33203125" style="1" customWidth="1"/>
    <col min="4" max="10" width="10" style="1" customWidth="1"/>
    <col min="11" max="11" width="55" style="1" customWidth="1"/>
    <col min="12" max="14" width="10" style="1" customWidth="1"/>
    <col min="15" max="15" width="10.33203125" style="1" customWidth="1"/>
    <col min="16" max="16" width="2" style="1" customWidth="1"/>
    <col min="17" max="17" width="53.33203125" style="1" customWidth="1"/>
    <col min="18" max="18" width="10.83203125" style="1"/>
  </cols>
  <sheetData>
    <row r="3" spans="3:14" x14ac:dyDescent="0.2"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</row>
    <row r="4" spans="3:14" ht="28" x14ac:dyDescent="0.35">
      <c r="C4" s="153" t="s">
        <v>297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4"/>
    </row>
    <row r="5" spans="3:14" x14ac:dyDescent="0.2"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</row>
    <row r="6" spans="3:14" x14ac:dyDescent="0.2">
      <c r="C6" s="155" t="s">
        <v>298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</row>
    <row r="7" spans="3:14" x14ac:dyDescent="0.2">
      <c r="C7" s="156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</row>
    <row r="8" spans="3:14" x14ac:dyDescent="0.2"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</row>
    <row r="11" spans="3:14" x14ac:dyDescent="0.2">
      <c r="C11" s="157" t="s">
        <v>299</v>
      </c>
      <c r="K11" s="157" t="s">
        <v>267</v>
      </c>
    </row>
    <row r="12" spans="3:14" x14ac:dyDescent="0.2">
      <c r="N12" s="58" t="s">
        <v>308</v>
      </c>
    </row>
    <row r="13" spans="3:14" x14ac:dyDescent="0.2">
      <c r="C13" s="145" t="s">
        <v>300</v>
      </c>
      <c r="D13" s="2" t="s">
        <v>301</v>
      </c>
      <c r="K13" s="60" t="s">
        <v>309</v>
      </c>
      <c r="L13" s="60"/>
      <c r="M13" s="60"/>
      <c r="N13" s="61">
        <f>IF(SUM(Model!$F$315:$O$315)&gt;0,1,0)</f>
        <v>0</v>
      </c>
    </row>
    <row r="14" spans="3:14" x14ac:dyDescent="0.2">
      <c r="C14" s="145" t="s">
        <v>302</v>
      </c>
      <c r="D14" s="2" t="s">
        <v>303</v>
      </c>
      <c r="K14" s="62" t="s">
        <v>310</v>
      </c>
      <c r="L14" s="62"/>
      <c r="M14" s="62"/>
      <c r="N14" s="63">
        <f>IF(SUM(Model!$F$316:$O$316)&gt;0,1,0)</f>
        <v>0</v>
      </c>
    </row>
    <row r="15" spans="3:14" x14ac:dyDescent="0.2">
      <c r="C15" s="145" t="s">
        <v>304</v>
      </c>
      <c r="D15" s="2" t="s">
        <v>305</v>
      </c>
      <c r="K15" s="62" t="s">
        <v>311</v>
      </c>
      <c r="L15" s="62"/>
      <c r="M15" s="62"/>
      <c r="N15" s="63">
        <f>IF(SUM(Model!$F$317:$O$317)&gt;0,1,0)</f>
        <v>0</v>
      </c>
    </row>
    <row r="16" spans="3:14" x14ac:dyDescent="0.2">
      <c r="C16" s="145" t="s">
        <v>306</v>
      </c>
      <c r="D16" s="2" t="s">
        <v>307</v>
      </c>
      <c r="K16" s="62" t="s">
        <v>312</v>
      </c>
      <c r="L16" s="62"/>
      <c r="M16" s="62"/>
      <c r="N16" s="63">
        <f>IF(SUM(Model!$F$318:$O$318)&gt;0,1,0)</f>
        <v>0</v>
      </c>
    </row>
    <row r="17" spans="3:14" x14ac:dyDescent="0.2">
      <c r="C17" s="145" t="s">
        <v>620</v>
      </c>
      <c r="D17" s="2" t="s">
        <v>621</v>
      </c>
      <c r="K17" s="62" t="s">
        <v>313</v>
      </c>
      <c r="L17" s="62"/>
      <c r="M17" s="62"/>
      <c r="N17" s="63">
        <f>IF(SUM(Model!$F$319:$O$319)&gt;0,1,0)</f>
        <v>0</v>
      </c>
    </row>
    <row r="18" spans="3:14" x14ac:dyDescent="0.2">
      <c r="C18" s="145" t="s">
        <v>614</v>
      </c>
      <c r="D18" s="2" t="s">
        <v>615</v>
      </c>
      <c r="K18" s="62" t="s">
        <v>314</v>
      </c>
      <c r="L18" s="62"/>
      <c r="M18" s="62"/>
      <c r="N18" s="63">
        <f>IF(SUM(Model!$F$320:$O$320)&gt;0,1,0)</f>
        <v>0</v>
      </c>
    </row>
    <row r="19" spans="3:14" x14ac:dyDescent="0.2">
      <c r="C19" s="145"/>
      <c r="D19" s="2"/>
      <c r="K19" s="62" t="s">
        <v>315</v>
      </c>
      <c r="L19" s="62"/>
      <c r="M19" s="62"/>
      <c r="N19" s="63">
        <f>IF(SUM(Model!$F$321:$O$321)&gt;0,1,0)</f>
        <v>0</v>
      </c>
    </row>
    <row r="20" spans="3:14" x14ac:dyDescent="0.2">
      <c r="C20" s="157" t="s">
        <v>322</v>
      </c>
      <c r="K20" s="62" t="s">
        <v>316</v>
      </c>
      <c r="L20" s="62"/>
      <c r="M20" s="62"/>
      <c r="N20" s="63">
        <f>IF(SUM(Model!$F$322:$O$322)&gt;0,1,0)</f>
        <v>0</v>
      </c>
    </row>
    <row r="21" spans="3:14" x14ac:dyDescent="0.2">
      <c r="C21" s="1" t="str" cm="1">
        <f t="array" ref="C21">INDEX(Inputs!$B$11:$B$13,Inputs!$E$6)&amp;" (change on Inputs!E7: 1 = Best, 2 = Base, 3 = Worst)"</f>
        <v>Base Case (change on Inputs!E7: 1 = Best, 2 = Base, 3 = Worst)</v>
      </c>
      <c r="K21" s="62" t="s">
        <v>317</v>
      </c>
      <c r="L21" s="62"/>
      <c r="M21" s="62"/>
      <c r="N21" s="63">
        <f>IF(SUM(Model!$F$323:$O$323)&gt;0,1,0)</f>
        <v>0</v>
      </c>
    </row>
    <row r="22" spans="3:14" x14ac:dyDescent="0.2">
      <c r="K22" s="62" t="s">
        <v>318</v>
      </c>
      <c r="L22" s="62"/>
      <c r="M22" s="62"/>
      <c r="N22" s="63">
        <f>IF(SUM(Model!$F$324:$O$324)&gt;0,1,0)</f>
        <v>0</v>
      </c>
    </row>
    <row r="23" spans="3:14" x14ac:dyDescent="0.2">
      <c r="C23" s="157" t="s">
        <v>323</v>
      </c>
      <c r="K23" s="62" t="s">
        <v>319</v>
      </c>
      <c r="L23" s="62"/>
      <c r="M23" s="62"/>
      <c r="N23" s="63">
        <f>IF(SUM(Model!$F$325:$O$325)&gt;0,1,0)</f>
        <v>0</v>
      </c>
    </row>
    <row r="24" spans="3:14" x14ac:dyDescent="0.2">
      <c r="C24" s="2" t="s">
        <v>324</v>
      </c>
      <c r="K24" s="64" t="s">
        <v>320</v>
      </c>
      <c r="L24" s="64"/>
      <c r="M24" s="64"/>
      <c r="N24" s="65">
        <f>IF(SUM(Model!$F$326:$O$326)&gt;0,1,0)</f>
        <v>0</v>
      </c>
    </row>
    <row r="25" spans="3:14" x14ac:dyDescent="0.2">
      <c r="C25" s="2" t="s">
        <v>325</v>
      </c>
      <c r="K25" s="1" t="s">
        <v>453</v>
      </c>
      <c r="N25" s="53">
        <f>'DCF Valuation'!$F$110</f>
        <v>0</v>
      </c>
    </row>
    <row r="26" spans="3:14" x14ac:dyDescent="0.2">
      <c r="C26" s="2" t="s">
        <v>326</v>
      </c>
      <c r="K26" s="5" t="s">
        <v>321</v>
      </c>
      <c r="N26" s="58" t="str">
        <f>IF(SUM(N13:N25)+N27=0,"OK","CHECK")</f>
        <v>OK</v>
      </c>
    </row>
    <row r="27" spans="3:14" x14ac:dyDescent="0.2">
      <c r="C27" s="2" t="s">
        <v>327</v>
      </c>
      <c r="K27" s="1" t="s">
        <v>616</v>
      </c>
      <c r="N27" s="53">
        <f>'Comparable Company Analysis'!$F$112</f>
        <v>0</v>
      </c>
    </row>
    <row r="28" spans="3:14" x14ac:dyDescent="0.2">
      <c r="C28" s="2" t="s">
        <v>328</v>
      </c>
    </row>
    <row r="31" spans="3:14" x14ac:dyDescent="0.2">
      <c r="C31" s="157" t="s">
        <v>329</v>
      </c>
    </row>
    <row r="32" spans="3:14" x14ac:dyDescent="0.2">
      <c r="C32" s="2" t="s">
        <v>330</v>
      </c>
    </row>
    <row r="33" spans="3:3" x14ac:dyDescent="0.2">
      <c r="C33" s="2" t="s">
        <v>331</v>
      </c>
    </row>
    <row r="34" spans="3:3" x14ac:dyDescent="0.2">
      <c r="C34" s="2" t="s">
        <v>332</v>
      </c>
    </row>
    <row r="35" spans="3:3" x14ac:dyDescent="0.2">
      <c r="C35" s="2" t="s">
        <v>333</v>
      </c>
    </row>
    <row r="36" spans="3:3" x14ac:dyDescent="0.2">
      <c r="C36" s="2" t="s">
        <v>334</v>
      </c>
    </row>
    <row r="38" spans="3:3" x14ac:dyDescent="0.2">
      <c r="C38" s="35" t="s">
        <v>335</v>
      </c>
    </row>
  </sheetData>
  <conditionalFormatting sqref="N13:N25">
    <cfRule type="cellIs" dxfId="2" priority="1" operator="greaterThan">
      <formula>0</formula>
    </cfRule>
  </conditionalFormatting>
  <conditionalFormatting sqref="N26">
    <cfRule type="containsText" dxfId="1" priority="2" operator="containsText" text="CHECK">
      <formula>NOT(ISERROR(SEARCH("CHECK",N26)))</formula>
    </cfRule>
  </conditionalFormatting>
  <hyperlinks>
    <hyperlink ref="C13" location="'Outputs'!A1" tooltip="Dashboard: key metrics and charts" display="Outputs" xr:uid="{6F21793A-6E2B-2947-ADB2-E123E9EA018F}"/>
    <hyperlink ref="C14" location="'Inputs'!A1" tooltip="Scenario drivers (Best / Base / Worst) and other assumptions" display="Inputs" xr:uid="{59263DCA-8DB4-5841-B08A-A4C2948090C9}"/>
    <hyperlink ref="C15" location="'Model'!A1" tooltip="Income statement, cash flow, balance sheet, supporting schedules and checks" display="Model" xr:uid="{E876C6EC-CDB6-204C-B975-A67D1DFA09F6}"/>
    <hyperlink ref="C16" location="'Historicals'!A1" tooltip="Reported standalone financials FY22–FY26 with source notes" display="Historicals" xr:uid="{50E21906-C5FD-7F4F-B0C5-C24056B3B7BA}"/>
    <hyperlink ref="C17" location="'Valuation'!A1" tooltip="Residual income valuation" display="Valuation" xr:uid="{47731F7E-F7A6-F741-9201-1A10712DDF96}"/>
    <hyperlink ref="C18" location="'Comparable Company Analysis'!A1" tooltip="Peer P/B and P/E valuation" display="Comparable Company Analysis" xr:uid="{18527D2E-08E9-2E47-A6CD-7F0164257E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7CB6-1993-4345-B2D1-314F943209BC}">
  <sheetPr>
    <tabColor rgb="FF9C1D26"/>
  </sheetPr>
  <dimension ref="A3:R33"/>
  <sheetViews>
    <sheetView showGridLines="0" topLeftCell="A28" workbookViewId="0">
      <selection activeCell="Q39" sqref="Q39"/>
    </sheetView>
  </sheetViews>
  <sheetFormatPr baseColWidth="10" defaultRowHeight="16" x14ac:dyDescent="0.2"/>
  <cols>
    <col min="1" max="1" width="2" style="1" customWidth="1"/>
    <col min="2" max="2" width="33.33203125" style="1" customWidth="1"/>
    <col min="3" max="3" width="3.33203125" style="1" customWidth="1"/>
    <col min="4" max="4" width="11.6640625" style="1" customWidth="1"/>
    <col min="5" max="5" width="2" style="1" customWidth="1"/>
    <col min="6" max="15" width="10.33203125" style="1" customWidth="1"/>
    <col min="16" max="16" width="2" style="1" customWidth="1"/>
    <col min="17" max="17" width="53.33203125" style="1" customWidth="1"/>
    <col min="18" max="18" width="10.83203125" style="1"/>
  </cols>
  <sheetData>
    <row r="3" spans="2:15" ht="20" x14ac:dyDescent="0.25">
      <c r="B3" s="150" t="s">
        <v>288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5" spans="2:15" ht="17" thickBot="1" x14ac:dyDescent="0.25">
      <c r="B5" s="3" t="s">
        <v>58</v>
      </c>
      <c r="F5" s="4">
        <f>Model!F$5</f>
        <v>2022</v>
      </c>
      <c r="G5" s="4">
        <f>Model!G$5</f>
        <v>2023</v>
      </c>
      <c r="H5" s="4">
        <f>Model!H$5</f>
        <v>2024</v>
      </c>
      <c r="I5" s="4">
        <f>Model!I$5</f>
        <v>2025</v>
      </c>
      <c r="J5" s="4">
        <f>Model!J$5</f>
        <v>2026</v>
      </c>
      <c r="K5" s="16">
        <f>Model!K$5</f>
        <v>2027</v>
      </c>
      <c r="L5" s="16">
        <f>Model!L$5</f>
        <v>2028</v>
      </c>
      <c r="M5" s="16">
        <f>Model!M$5</f>
        <v>2029</v>
      </c>
      <c r="N5" s="16">
        <f>Model!N$5</f>
        <v>2030</v>
      </c>
      <c r="O5" s="16">
        <f>Model!O$5</f>
        <v>2031</v>
      </c>
    </row>
    <row r="6" spans="2:15" x14ac:dyDescent="0.2">
      <c r="B6" s="3" t="str">
        <f>Model!B6</f>
        <v>Model Running: Base Case Drivers</v>
      </c>
    </row>
    <row r="8" spans="2:15" x14ac:dyDescent="0.2">
      <c r="B8" s="5" t="s">
        <v>289</v>
      </c>
    </row>
    <row r="9" spans="2:15" x14ac:dyDescent="0.2">
      <c r="B9" s="1" t="s">
        <v>290</v>
      </c>
      <c r="F9" s="26">
        <f>Model!F16</f>
        <v>9706.1600000000035</v>
      </c>
      <c r="G9" s="26">
        <f>Model!G16</f>
        <v>12635.330000000002</v>
      </c>
      <c r="H9" s="26">
        <f>Model!H16</f>
        <v>16450.749999999996</v>
      </c>
      <c r="I9" s="26">
        <f>Model!I16</f>
        <v>19291.970000000005</v>
      </c>
      <c r="J9" s="26">
        <f>Model!J16</f>
        <v>21215.27</v>
      </c>
      <c r="K9" s="26">
        <f>Model!K16</f>
        <v>25487.517510800008</v>
      </c>
      <c r="L9" s="26">
        <f>Model!L16</f>
        <v>30364.914779123508</v>
      </c>
      <c r="M9" s="26">
        <f>Model!M16</f>
        <v>35878.575538131263</v>
      </c>
      <c r="N9" s="26">
        <f>Model!N16</f>
        <v>41844.27295240511</v>
      </c>
      <c r="O9" s="26">
        <f>Model!O16</f>
        <v>49560.942493442199</v>
      </c>
    </row>
    <row r="10" spans="2:15" x14ac:dyDescent="0.2">
      <c r="B10" s="1" t="s">
        <v>12</v>
      </c>
      <c r="F10" s="26">
        <f>Model!F18</f>
        <v>3222.04</v>
      </c>
      <c r="G10" s="26">
        <f>Model!G18</f>
        <v>4466.97</v>
      </c>
      <c r="H10" s="26">
        <f>Model!H18</f>
        <v>6002</v>
      </c>
      <c r="I10" s="26">
        <f>Model!I18</f>
        <v>7021.71</v>
      </c>
      <c r="J10" s="26">
        <f>Model!J18</f>
        <v>7873.29</v>
      </c>
      <c r="K10" s="26">
        <f>Model!K18</f>
        <v>9290.4822000000004</v>
      </c>
      <c r="L10" s="26">
        <f>Model!L18</f>
        <v>10869.864174</v>
      </c>
      <c r="M10" s="26">
        <f>Model!M18</f>
        <v>12609.04244184</v>
      </c>
      <c r="N10" s="26">
        <f>Model!N18</f>
        <v>14500.398808115999</v>
      </c>
      <c r="O10" s="26">
        <f>Model!O18</f>
        <v>16675.458629333396</v>
      </c>
    </row>
    <row r="11" spans="2:15" x14ac:dyDescent="0.2">
      <c r="B11" s="1" t="s">
        <v>146</v>
      </c>
      <c r="F11" s="26">
        <f>Model!F24</f>
        <v>3283.7500000000036</v>
      </c>
      <c r="G11" s="26">
        <f>Model!G24</f>
        <v>4931.9500000000025</v>
      </c>
      <c r="H11" s="26">
        <f>Model!H24</f>
        <v>6236.9699999999975</v>
      </c>
      <c r="I11" s="26">
        <f>Model!I24</f>
        <v>7414.8500000000022</v>
      </c>
      <c r="J11" s="26">
        <f>Model!J24</f>
        <v>7211.3600000000006</v>
      </c>
      <c r="K11" s="26">
        <f>Model!K24</f>
        <v>9837.9917108000081</v>
      </c>
      <c r="L11" s="26">
        <f>Model!L24</f>
        <v>13052.569913123509</v>
      </c>
      <c r="M11" s="26">
        <f>Model!M24</f>
        <v>16641.721764771264</v>
      </c>
      <c r="N11" s="26">
        <f>Model!N24</f>
        <v>20677.267999497104</v>
      </c>
      <c r="O11" s="26">
        <f>Model!O24</f>
        <v>26288.908910428712</v>
      </c>
    </row>
    <row r="12" spans="2:15" x14ac:dyDescent="0.2">
      <c r="B12" s="1" t="s">
        <v>197</v>
      </c>
      <c r="F12" s="26">
        <f>-Model!F26</f>
        <v>3108.58</v>
      </c>
      <c r="G12" s="26">
        <f>-Model!G26</f>
        <v>1664.82</v>
      </c>
      <c r="H12" s="26">
        <f>-Model!H26</f>
        <v>2381.65</v>
      </c>
      <c r="I12" s="26">
        <f>-Model!I26</f>
        <v>5514.73</v>
      </c>
      <c r="J12" s="26">
        <f>-Model!J26</f>
        <v>5378.55</v>
      </c>
      <c r="K12" s="26">
        <f>-Model!K26</f>
        <v>5397.5190499999999</v>
      </c>
      <c r="L12" s="26">
        <f>-Model!L26</f>
        <v>6106.907267999999</v>
      </c>
      <c r="M12" s="26">
        <f>-Model!M26</f>
        <v>7073.9183692799998</v>
      </c>
      <c r="N12" s="26">
        <f>-Model!N26</f>
        <v>8117.6645268431994</v>
      </c>
      <c r="O12" s="26">
        <f>-Model!O26</f>
        <v>9534.9044896489431</v>
      </c>
    </row>
    <row r="13" spans="2:15" x14ac:dyDescent="0.2">
      <c r="B13" s="5" t="s">
        <v>148</v>
      </c>
      <c r="C13" s="5"/>
      <c r="D13" s="5"/>
      <c r="E13" s="5"/>
      <c r="F13" s="34">
        <f>Model!F30</f>
        <v>145.4900000000037</v>
      </c>
      <c r="G13" s="34">
        <f>Model!G30</f>
        <v>2437.1300000000028</v>
      </c>
      <c r="H13" s="34">
        <f>Model!H30</f>
        <v>2956.5099999999975</v>
      </c>
      <c r="I13" s="34">
        <f>Model!I30</f>
        <v>1524.8500000000026</v>
      </c>
      <c r="J13" s="34">
        <f>Model!J30</f>
        <v>1636.3600000000004</v>
      </c>
      <c r="K13" s="34">
        <f>Model!K30</f>
        <v>3322.8056920766462</v>
      </c>
      <c r="L13" s="34">
        <f>Model!L30</f>
        <v>5197.439357345922</v>
      </c>
      <c r="M13" s="34">
        <f>Model!M30</f>
        <v>7159.5872808461136</v>
      </c>
      <c r="N13" s="34">
        <f>Model!N30</f>
        <v>9398.351278586917</v>
      </c>
      <c r="O13" s="34">
        <f>Model!O30</f>
        <v>12537.021508069502</v>
      </c>
    </row>
    <row r="15" spans="2:15" x14ac:dyDescent="0.2">
      <c r="B15" s="5" t="s">
        <v>4</v>
      </c>
    </row>
    <row r="16" spans="2:15" x14ac:dyDescent="0.2">
      <c r="B16" s="1" t="s">
        <v>191</v>
      </c>
      <c r="F16" s="26">
        <f>Model!F87</f>
        <v>117857.8</v>
      </c>
      <c r="G16" s="26">
        <f>Model!G87</f>
        <v>151794.53</v>
      </c>
      <c r="H16" s="26">
        <f>Model!H87</f>
        <v>194592.37</v>
      </c>
      <c r="I16" s="26">
        <f>Model!I87</f>
        <v>233112.53</v>
      </c>
      <c r="J16" s="26">
        <f>Model!J87</f>
        <v>280390.59999999998</v>
      </c>
      <c r="K16" s="26">
        <f>Model!K87</f>
        <v>336468.72</v>
      </c>
      <c r="L16" s="26">
        <f>Model!L87</f>
        <v>403762.46399999998</v>
      </c>
      <c r="M16" s="26">
        <f>Model!M87</f>
        <v>480477.33215999993</v>
      </c>
      <c r="N16" s="26">
        <f>Model!N87</f>
        <v>566963.25194879994</v>
      </c>
      <c r="O16" s="26">
        <f>Model!O87</f>
        <v>663347.00478009589</v>
      </c>
    </row>
    <row r="17" spans="2:15" x14ac:dyDescent="0.2">
      <c r="B17" s="1" t="s">
        <v>24</v>
      </c>
      <c r="F17" s="26">
        <f>Model!F93</f>
        <v>105634.36</v>
      </c>
      <c r="G17" s="26">
        <f>Model!G93</f>
        <v>144637.31</v>
      </c>
      <c r="H17" s="26">
        <f>Model!H93</f>
        <v>200576.31</v>
      </c>
      <c r="I17" s="26">
        <f>Model!I93</f>
        <v>252065.25</v>
      </c>
      <c r="J17" s="26">
        <f>Model!J93</f>
        <v>294474.55</v>
      </c>
      <c r="K17" s="26">
        <f>Model!K93</f>
        <v>359258.951</v>
      </c>
      <c r="L17" s="26">
        <f>Model!L93</f>
        <v>434703.33071000001</v>
      </c>
      <c r="M17" s="26">
        <f>Model!M93</f>
        <v>521643.99685200001</v>
      </c>
      <c r="N17" s="26">
        <f>Model!N93</f>
        <v>620756.35625387996</v>
      </c>
      <c r="O17" s="26">
        <f>Model!O93</f>
        <v>732492.50037957833</v>
      </c>
    </row>
    <row r="18" spans="2:15" x14ac:dyDescent="0.2">
      <c r="B18" s="1" t="s">
        <v>34</v>
      </c>
      <c r="F18" s="26">
        <f>Model!F90</f>
        <v>190181.61</v>
      </c>
      <c r="G18" s="26">
        <f>Model!G90</f>
        <v>239941.66</v>
      </c>
      <c r="H18" s="26">
        <f>Model!H90</f>
        <v>296115.09999999998</v>
      </c>
      <c r="I18" s="26">
        <f>Model!I90</f>
        <v>343818.65000000008</v>
      </c>
      <c r="J18" s="26">
        <f>Model!J90</f>
        <v>399780.09</v>
      </c>
      <c r="K18" s="26">
        <f>Model!K90</f>
        <v>475995.08867499995</v>
      </c>
      <c r="L18" s="26">
        <f>Model!L90</f>
        <v>573728.166547311</v>
      </c>
      <c r="M18" s="26">
        <f>Model!M90</f>
        <v>681677.82690585987</v>
      </c>
      <c r="N18" s="26">
        <f>Model!N90</f>
        <v>809195.65640733158</v>
      </c>
      <c r="O18" s="26">
        <f>Model!O90</f>
        <v>946795.40131287416</v>
      </c>
    </row>
    <row r="19" spans="2:15" x14ac:dyDescent="0.2">
      <c r="B19" s="5" t="s">
        <v>261</v>
      </c>
      <c r="C19" s="5"/>
      <c r="D19" s="5"/>
      <c r="E19" s="5"/>
      <c r="F19" s="34">
        <f>Model!F101</f>
        <v>21003.48</v>
      </c>
      <c r="G19" s="34">
        <f>Model!G101</f>
        <v>25721.17</v>
      </c>
      <c r="H19" s="34">
        <f>Model!H101</f>
        <v>32161.309999999998</v>
      </c>
      <c r="I19" s="34">
        <f>Model!I101</f>
        <v>38078</v>
      </c>
      <c r="J19" s="34">
        <f>Model!J101</f>
        <v>47351.839999999997</v>
      </c>
      <c r="K19" s="34">
        <f>Model!K101</f>
        <v>50459.60319207664</v>
      </c>
      <c r="L19" s="34">
        <f>Model!L101</f>
        <v>62658.621695611066</v>
      </c>
      <c r="M19" s="34">
        <f>Model!M101</f>
        <v>69038.593072855292</v>
      </c>
      <c r="N19" s="34">
        <f>Model!N101</f>
        <v>87363.006259315298</v>
      </c>
      <c r="O19" s="34">
        <f>Model!O101</f>
        <v>98490.275075596757</v>
      </c>
    </row>
    <row r="21" spans="2:15" x14ac:dyDescent="0.2">
      <c r="B21" s="5" t="s">
        <v>149</v>
      </c>
    </row>
    <row r="22" spans="2:15" x14ac:dyDescent="0.2">
      <c r="B22" s="1" t="s">
        <v>291</v>
      </c>
      <c r="F22" s="47">
        <f>Model!F33</f>
        <v>0</v>
      </c>
      <c r="G22" s="47">
        <f>Model!G33</f>
        <v>6.2154734486803594E-2</v>
      </c>
      <c r="H22" s="47">
        <f>Model!H33</f>
        <v>6.4690452307408136E-2</v>
      </c>
      <c r="I22" s="47">
        <f>Model!I33</f>
        <v>6.3178992238488704E-2</v>
      </c>
      <c r="J22" s="47">
        <f>Model!J33</f>
        <v>5.9926361988611877E-2</v>
      </c>
      <c r="K22" s="47">
        <f>Model!K33</f>
        <v>6.1242519921555494E-2</v>
      </c>
      <c r="L22" s="47">
        <f>Model!L33</f>
        <v>6.0726649338216476E-2</v>
      </c>
      <c r="M22" s="47">
        <f>Model!M33</f>
        <v>5.9955703030416536E-2</v>
      </c>
      <c r="N22" s="47">
        <f>Model!N33</f>
        <v>5.8846839198189747E-2</v>
      </c>
      <c r="O22" s="47">
        <f>Model!O33</f>
        <v>5.9148212209051615E-2</v>
      </c>
    </row>
    <row r="23" spans="2:15" x14ac:dyDescent="0.2">
      <c r="B23" s="1" t="s">
        <v>151</v>
      </c>
      <c r="F23" s="46">
        <f>Model!F34</f>
        <v>0.74600099008369281</v>
      </c>
      <c r="G23" s="46">
        <f>Model!G34</f>
        <v>0.71162065920957995</v>
      </c>
      <c r="H23" s="46">
        <f>Model!H34</f>
        <v>0.72221799111467422</v>
      </c>
      <c r="I23" s="46">
        <f>Model!I34</f>
        <v>0.71821311196305493</v>
      </c>
      <c r="J23" s="46">
        <f>Model!J34</f>
        <v>0.75208948122560892</v>
      </c>
      <c r="K23" s="46">
        <f>Model!K34</f>
        <v>0.71712025439620375</v>
      </c>
      <c r="L23" s="46">
        <f>Model!L34</f>
        <v>0.6834572599998191</v>
      </c>
      <c r="M23" s="46">
        <f>Model!M34</f>
        <v>0.65678409338141863</v>
      </c>
      <c r="N23" s="46">
        <f>Model!N34</f>
        <v>0.63302176845788283</v>
      </c>
      <c r="O23" s="46">
        <f>Model!O34</f>
        <v>0.60310481148123263</v>
      </c>
    </row>
    <row r="24" spans="2:15" x14ac:dyDescent="0.2">
      <c r="B24" s="1" t="s">
        <v>292</v>
      </c>
      <c r="F24" s="47">
        <f>Model!F35</f>
        <v>0</v>
      </c>
      <c r="G24" s="47">
        <f>Model!G35</f>
        <v>1.2347899979206557E-2</v>
      </c>
      <c r="H24" s="47">
        <f>Model!H35</f>
        <v>1.3751386094566508E-2</v>
      </c>
      <c r="I24" s="47">
        <f>Model!I35</f>
        <v>2.5787546506949064E-2</v>
      </c>
      <c r="J24" s="47">
        <f>Model!J35</f>
        <v>2.0948460431000685E-2</v>
      </c>
      <c r="K24" s="47">
        <f>Model!K35</f>
        <v>1.7500000000000002E-2</v>
      </c>
      <c r="L24" s="47">
        <f>Model!L35</f>
        <v>1.6500000000000001E-2</v>
      </c>
      <c r="M24" s="47">
        <f>Model!M35</f>
        <v>1.6E-2</v>
      </c>
      <c r="N24" s="47">
        <f>Model!N35</f>
        <v>1.55E-2</v>
      </c>
      <c r="O24" s="47">
        <f>Model!O35</f>
        <v>1.55E-2</v>
      </c>
    </row>
    <row r="25" spans="2:15" x14ac:dyDescent="0.2">
      <c r="B25" s="1" t="s">
        <v>293</v>
      </c>
      <c r="F25" s="47">
        <f>Model!F37</f>
        <v>0</v>
      </c>
      <c r="G25" s="47">
        <f>Model!G37</f>
        <v>1.1332239708863009E-2</v>
      </c>
      <c r="H25" s="47">
        <f>Model!H37</f>
        <v>1.1030585641714498E-2</v>
      </c>
      <c r="I25" s="47">
        <f>Model!I37</f>
        <v>4.7656495691936942E-3</v>
      </c>
      <c r="J25" s="47">
        <f>Model!J37</f>
        <v>4.4011908895918786E-3</v>
      </c>
      <c r="K25" s="47">
        <f>Model!K37</f>
        <v>7.5882618575782651E-3</v>
      </c>
      <c r="L25" s="47">
        <f>Model!L37</f>
        <v>9.9024944555414374E-3</v>
      </c>
      <c r="M25" s="47">
        <f>Model!M37</f>
        <v>1.1406010992750897E-2</v>
      </c>
      <c r="N25" s="47">
        <f>Model!N37</f>
        <v>1.2607845513089164E-2</v>
      </c>
      <c r="O25" s="47">
        <f>Model!O37</f>
        <v>1.4279140492146073E-2</v>
      </c>
    </row>
    <row r="26" spans="2:15" x14ac:dyDescent="0.2">
      <c r="B26" s="1" t="s">
        <v>294</v>
      </c>
      <c r="F26" s="46">
        <f>Model!F38</f>
        <v>0</v>
      </c>
      <c r="G26" s="46">
        <f>Model!G38</f>
        <v>0.10431881244696335</v>
      </c>
      <c r="H26" s="46">
        <f>Model!H38</f>
        <v>0.1021556090893133</v>
      </c>
      <c r="I26" s="46">
        <f>Model!I38</f>
        <v>4.3418706704265821E-2</v>
      </c>
      <c r="J26" s="46">
        <f>Model!J38</f>
        <v>3.8308862570736416E-2</v>
      </c>
      <c r="K26" s="46">
        <f>Model!K38</f>
        <v>6.7943086895293145E-2</v>
      </c>
      <c r="L26" s="46">
        <f>Model!L38</f>
        <v>9.189393420037012E-2</v>
      </c>
      <c r="M26" s="46">
        <f>Model!M38</f>
        <v>0.10872799843843635</v>
      </c>
      <c r="N26" s="46">
        <f>Model!N38</f>
        <v>0.12018229121335781</v>
      </c>
      <c r="O26" s="46">
        <f>Model!O38</f>
        <v>0.13491310369148113</v>
      </c>
    </row>
    <row r="27" spans="2:15" x14ac:dyDescent="0.2">
      <c r="B27" s="1" t="s">
        <v>74</v>
      </c>
      <c r="F27" s="46">
        <f>Model!F139</f>
        <v>0.48440677824904699</v>
      </c>
      <c r="G27" s="46">
        <f>Model!G139</f>
        <v>0.49767933322321883</v>
      </c>
      <c r="H27" s="46">
        <f>Model!H139</f>
        <v>0.47247852949333846</v>
      </c>
      <c r="I27" s="46">
        <f>Model!I139</f>
        <v>0.46907298804575404</v>
      </c>
      <c r="J27" s="46">
        <f>Model!J139</f>
        <v>0.49800568504137288</v>
      </c>
      <c r="K27" s="46">
        <f>Model!K139</f>
        <v>0.5</v>
      </c>
      <c r="L27" s="46">
        <f>Model!L139</f>
        <v>0.505</v>
      </c>
      <c r="M27" s="46">
        <f>Model!M139</f>
        <v>0.51</v>
      </c>
      <c r="N27" s="46">
        <f>Model!N139</f>
        <v>0.51500000000000001</v>
      </c>
      <c r="O27" s="46">
        <f>Model!O139</f>
        <v>0.52</v>
      </c>
    </row>
    <row r="28" spans="2:15" x14ac:dyDescent="0.2">
      <c r="B28" s="1" t="s">
        <v>47</v>
      </c>
      <c r="F28" s="47">
        <f>Model!F119</f>
        <v>3.6999999999999998E-2</v>
      </c>
      <c r="G28" s="47">
        <f>Model!G119</f>
        <v>2.5100000000000001E-2</v>
      </c>
      <c r="H28" s="47">
        <f>Model!H119</f>
        <v>1.8800000000000001E-2</v>
      </c>
      <c r="I28" s="47">
        <f>Model!I119</f>
        <v>1.8700000000000001E-2</v>
      </c>
      <c r="J28" s="47">
        <f>Model!J119</f>
        <v>1.61E-2</v>
      </c>
      <c r="K28" s="47">
        <f>Model!K119</f>
        <v>1.55E-2</v>
      </c>
      <c r="L28" s="47">
        <f>Model!L119</f>
        <v>1.4999999999999999E-2</v>
      </c>
      <c r="M28" s="47">
        <f>Model!M119</f>
        <v>1.4500000000000001E-2</v>
      </c>
      <c r="N28" s="47">
        <f>Model!N119</f>
        <v>1.4500000000000001E-2</v>
      </c>
      <c r="O28" s="47">
        <f>Model!O119</f>
        <v>1.4500000000000001E-2</v>
      </c>
    </row>
    <row r="29" spans="2:15" x14ac:dyDescent="0.2">
      <c r="B29" s="1" t="s">
        <v>48</v>
      </c>
      <c r="F29" s="47">
        <f>Model!F123</f>
        <v>1.5299999999999999E-2</v>
      </c>
      <c r="G29" s="47">
        <f>Model!G123</f>
        <v>8.6E-3</v>
      </c>
      <c r="H29" s="47">
        <f>Model!H123</f>
        <v>6.0000000000000001E-3</v>
      </c>
      <c r="I29" s="47">
        <f>Model!I123</f>
        <v>5.3E-3</v>
      </c>
      <c r="J29" s="47">
        <f>Model!J123</f>
        <v>4.7999999999999996E-3</v>
      </c>
      <c r="K29" s="47">
        <f>Model!K123</f>
        <v>4.5450179222341885E-3</v>
      </c>
      <c r="L29" s="47">
        <f>Model!L123</f>
        <v>4.245855236554792E-3</v>
      </c>
      <c r="M29" s="47">
        <f>Model!M123</f>
        <v>4.1028335826023693E-3</v>
      </c>
      <c r="N29" s="47">
        <f>Model!N123</f>
        <v>4.1028335826023693E-3</v>
      </c>
      <c r="O29" s="47">
        <f>Model!O123</f>
        <v>4.1028335826023702E-3</v>
      </c>
    </row>
    <row r="30" spans="2:15" x14ac:dyDescent="0.2">
      <c r="B30" s="1" t="s">
        <v>51</v>
      </c>
      <c r="F30" s="47">
        <f>Model!F302</f>
        <v>0</v>
      </c>
      <c r="G30" s="47">
        <f>Model!G302</f>
        <v>0</v>
      </c>
      <c r="H30" s="47">
        <f>Model!H302</f>
        <v>0</v>
      </c>
      <c r="I30" s="47">
        <f>Model!I302</f>
        <v>0.13175970167068754</v>
      </c>
      <c r="J30" s="47">
        <f>Model!J302</f>
        <v>0.13727528488844704</v>
      </c>
      <c r="K30" s="47">
        <f>Model!K302</f>
        <v>0.12235698753164628</v>
      </c>
      <c r="L30" s="47">
        <f>Model!L302</f>
        <v>0.12605558219098631</v>
      </c>
      <c r="M30" s="47">
        <f>Model!M302</f>
        <v>0.11689614284914004</v>
      </c>
      <c r="N30" s="47">
        <f>Model!N302</f>
        <v>0.12461245264843562</v>
      </c>
      <c r="O30" s="47">
        <f>Model!O302</f>
        <v>0.12006726755999114</v>
      </c>
    </row>
    <row r="31" spans="2:15" x14ac:dyDescent="0.2">
      <c r="B31" s="1" t="s">
        <v>295</v>
      </c>
      <c r="F31" s="47">
        <f>Model!F303</f>
        <v>0.16739999999999999</v>
      </c>
      <c r="G31" s="47">
        <f>Model!G303</f>
        <v>0.16819999999999999</v>
      </c>
      <c r="H31" s="47">
        <f>Model!H303</f>
        <v>0.16109999999999999</v>
      </c>
      <c r="I31" s="47">
        <f>Model!I303</f>
        <v>0.15479999999999999</v>
      </c>
      <c r="J31" s="47">
        <f>Model!J303</f>
        <v>0.156</v>
      </c>
      <c r="K31" s="47">
        <f>Model!K303</f>
        <v>0.13801473742343465</v>
      </c>
      <c r="L31" s="47">
        <f>Model!L303</f>
        <v>0.13904607574308939</v>
      </c>
      <c r="M31" s="47">
        <f>Model!M303</f>
        <v>0.12782947785582793</v>
      </c>
      <c r="N31" s="47">
        <f>Model!N303</f>
        <v>0.13382284816796011</v>
      </c>
      <c r="O31" s="47">
        <f>Model!O303</f>
        <v>0.12793909714202972</v>
      </c>
    </row>
    <row r="33" spans="2:2" x14ac:dyDescent="0.2">
      <c r="B33" s="3" t="s">
        <v>296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FAB9-EDF8-E048-AAB7-8FBD686CD759}">
  <sheetPr>
    <tabColor rgb="FF9C1D26"/>
  </sheetPr>
  <dimension ref="A3:R82"/>
  <sheetViews>
    <sheetView showGridLines="0" topLeftCell="B1" workbookViewId="0">
      <pane ySplit="4" topLeftCell="A5" activePane="bottomLeft" state="frozen"/>
      <selection pane="bottomLeft" activeCell="E7" sqref="E7"/>
    </sheetView>
  </sheetViews>
  <sheetFormatPr baseColWidth="10" defaultRowHeight="16" x14ac:dyDescent="0.2"/>
  <cols>
    <col min="1" max="1" width="2" style="1" customWidth="1"/>
    <col min="2" max="2" width="33.33203125" style="1" customWidth="1"/>
    <col min="3" max="3" width="3.33203125" style="1" customWidth="1"/>
    <col min="4" max="4" width="11.6640625" style="1" customWidth="1"/>
    <col min="5" max="5" width="2" style="1" customWidth="1"/>
    <col min="6" max="15" width="10.33203125" style="1" customWidth="1"/>
    <col min="16" max="16" width="2" style="1" customWidth="1"/>
    <col min="17" max="17" width="53.33203125" style="1" customWidth="1"/>
    <col min="18" max="18" width="10.83203125" style="1"/>
  </cols>
  <sheetData>
    <row r="3" spans="2:17" ht="20" x14ac:dyDescent="0.25">
      <c r="B3" s="150" t="s">
        <v>57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</row>
    <row r="4" spans="2:17" ht="17" thickBot="1" x14ac:dyDescent="0.25">
      <c r="B4" s="3" t="s">
        <v>58</v>
      </c>
      <c r="F4" s="4">
        <f>$K$4-5</f>
        <v>2022</v>
      </c>
      <c r="G4" s="4">
        <f>$K$4-4</f>
        <v>2023</v>
      </c>
      <c r="H4" s="4">
        <f>$K$4-3</f>
        <v>2024</v>
      </c>
      <c r="I4" s="4">
        <f>$K$4-2</f>
        <v>2025</v>
      </c>
      <c r="J4" s="4">
        <f>$K$4-1</f>
        <v>2026</v>
      </c>
      <c r="K4" s="17">
        <f>$F$80</f>
        <v>2027</v>
      </c>
      <c r="L4" s="17">
        <f>$K$4+1</f>
        <v>2028</v>
      </c>
      <c r="M4" s="17">
        <f>$K$4+2</f>
        <v>2029</v>
      </c>
      <c r="N4" s="17">
        <f>$K$4+3</f>
        <v>2030</v>
      </c>
      <c r="O4" s="17">
        <f>$K$4+4</f>
        <v>2031</v>
      </c>
      <c r="Q4" s="5" t="s">
        <v>59</v>
      </c>
    </row>
    <row r="6" spans="2:17" x14ac:dyDescent="0.2">
      <c r="B6" s="5" t="s">
        <v>60</v>
      </c>
      <c r="E6" s="18">
        <v>2</v>
      </c>
      <c r="F6" s="3" t="str" cm="1">
        <f t="array" ref="F6">"Running: "&amp;INDEX($B$11:$B$13,$E$6)&amp;"  (1 = Best, 2 = Base, 3 = Worst)"</f>
        <v>Running: Base Case  (1 = Best, 2 = Base, 3 = Worst)</v>
      </c>
    </row>
    <row r="9" spans="2:17" x14ac:dyDescent="0.2">
      <c r="B9" s="5" t="s">
        <v>61</v>
      </c>
      <c r="C9" s="5"/>
      <c r="D9" s="5"/>
      <c r="E9" s="5"/>
      <c r="F9" s="55"/>
      <c r="G9" s="55">
        <f>Model!G114</f>
        <v>0.287946406601854</v>
      </c>
      <c r="H9" s="55">
        <f>Model!H114</f>
        <v>0.28194586458418502</v>
      </c>
      <c r="I9" s="55">
        <f>Model!I114</f>
        <v>0.19795308521089505</v>
      </c>
      <c r="J9" s="55">
        <f>Model!J114</f>
        <v>0.20281222120492615</v>
      </c>
      <c r="K9" s="19" cm="1">
        <f t="array" ref="K9">INDEX(K11:K13,$E$6)</f>
        <v>0.2</v>
      </c>
      <c r="L9" s="19" cm="1">
        <f t="array" ref="L9">INDEX(L11:L13,$E$6)</f>
        <v>0.2</v>
      </c>
      <c r="M9" s="19" cm="1">
        <f t="array" ref="M9">INDEX(M11:M13,$E$6)</f>
        <v>0.19</v>
      </c>
      <c r="N9" s="19" cm="1">
        <f t="array" ref="N9">INDEX(N11:N13,$E$6)</f>
        <v>0.18</v>
      </c>
      <c r="O9" s="19" cm="1">
        <f t="array" ref="O9">INDEX(O11:O13,$E$6)</f>
        <v>0.17</v>
      </c>
      <c r="Q9" s="14" t="s">
        <v>65</v>
      </c>
    </row>
    <row r="11" spans="2:17" x14ac:dyDescent="0.2">
      <c r="B11" s="6" t="s">
        <v>62</v>
      </c>
      <c r="K11" s="20">
        <v>0.22</v>
      </c>
      <c r="L11" s="20">
        <v>0.22</v>
      </c>
      <c r="M11" s="20">
        <v>0.21</v>
      </c>
      <c r="N11" s="20">
        <v>0.2</v>
      </c>
      <c r="O11" s="20">
        <v>0.19</v>
      </c>
    </row>
    <row r="12" spans="2:17" x14ac:dyDescent="0.2">
      <c r="B12" s="6" t="s">
        <v>63</v>
      </c>
      <c r="K12" s="20">
        <v>0.2</v>
      </c>
      <c r="L12" s="20">
        <v>0.2</v>
      </c>
      <c r="M12" s="20">
        <v>0.19</v>
      </c>
      <c r="N12" s="20">
        <v>0.18</v>
      </c>
      <c r="O12" s="20">
        <v>0.17</v>
      </c>
    </row>
    <row r="13" spans="2:17" x14ac:dyDescent="0.2">
      <c r="B13" s="6" t="s">
        <v>64</v>
      </c>
      <c r="K13" s="20">
        <v>0.15</v>
      </c>
      <c r="L13" s="20">
        <v>0.15</v>
      </c>
      <c r="M13" s="20">
        <v>0.14000000000000001</v>
      </c>
      <c r="N13" s="20">
        <v>0.14000000000000001</v>
      </c>
      <c r="O13" s="20">
        <v>0.13</v>
      </c>
    </row>
    <row r="16" spans="2:17" x14ac:dyDescent="0.2">
      <c r="B16" s="5" t="s">
        <v>66</v>
      </c>
      <c r="C16" s="5"/>
      <c r="D16" s="5"/>
      <c r="E16" s="5"/>
      <c r="F16" s="55"/>
      <c r="G16" s="55">
        <f>Model!G137</f>
        <v>0.36922597912270216</v>
      </c>
      <c r="H16" s="55">
        <f>Model!H137</f>
        <v>0.38675359767130635</v>
      </c>
      <c r="I16" s="55">
        <f>Model!I137</f>
        <v>0.2567049917310773</v>
      </c>
      <c r="J16" s="55">
        <f>Model!J137</f>
        <v>0.16824730898051188</v>
      </c>
      <c r="K16" s="19" cm="1">
        <f t="array" ref="K16">INDEX(K18:K20,$E$6)</f>
        <v>0.22</v>
      </c>
      <c r="L16" s="19" cm="1">
        <f t="array" ref="L16">INDEX(L18:L20,$E$6)</f>
        <v>0.21</v>
      </c>
      <c r="M16" s="19" cm="1">
        <f t="array" ref="M16">INDEX(M18:M20,$E$6)</f>
        <v>0.2</v>
      </c>
      <c r="N16" s="19" cm="1">
        <f t="array" ref="N16">INDEX(N18:N20,$E$6)</f>
        <v>0.19</v>
      </c>
      <c r="O16" s="19" cm="1">
        <f t="array" ref="O16">INDEX(O18:O20,$E$6)</f>
        <v>0.18</v>
      </c>
      <c r="Q16" s="14" t="s">
        <v>67</v>
      </c>
    </row>
    <row r="18" spans="2:17" x14ac:dyDescent="0.2">
      <c r="B18" s="1" t="str">
        <f>$B$11</f>
        <v>Best Case</v>
      </c>
      <c r="K18" s="20">
        <v>0.23</v>
      </c>
      <c r="L18" s="20">
        <v>0.22</v>
      </c>
      <c r="M18" s="20">
        <v>0.21</v>
      </c>
      <c r="N18" s="20">
        <v>0.2</v>
      </c>
      <c r="O18" s="20">
        <v>0.19</v>
      </c>
    </row>
    <row r="19" spans="2:17" x14ac:dyDescent="0.2">
      <c r="B19" s="1" t="str">
        <f>$B$12</f>
        <v>Base Case</v>
      </c>
      <c r="K19" s="20">
        <v>0.22</v>
      </c>
      <c r="L19" s="20">
        <v>0.21</v>
      </c>
      <c r="M19" s="20">
        <v>0.2</v>
      </c>
      <c r="N19" s="20">
        <v>0.19</v>
      </c>
      <c r="O19" s="20">
        <v>0.18</v>
      </c>
    </row>
    <row r="20" spans="2:17" x14ac:dyDescent="0.2">
      <c r="B20" s="1" t="str">
        <f>$B$13</f>
        <v>Worst Case</v>
      </c>
      <c r="K20" s="20">
        <v>0.17</v>
      </c>
      <c r="L20" s="20">
        <v>0.16</v>
      </c>
      <c r="M20" s="20">
        <v>0.15</v>
      </c>
      <c r="N20" s="20">
        <v>0.15</v>
      </c>
      <c r="O20" s="20">
        <v>0.14000000000000001</v>
      </c>
    </row>
    <row r="23" spans="2:17" x14ac:dyDescent="0.2">
      <c r="B23" s="5" t="s">
        <v>68</v>
      </c>
      <c r="C23" s="5"/>
      <c r="D23" s="5"/>
      <c r="E23" s="5"/>
      <c r="F23" s="56"/>
      <c r="G23" s="56">
        <f>Model!G189</f>
        <v>0.14210431632465403</v>
      </c>
      <c r="H23" s="56">
        <f>Model!H189</f>
        <v>0.14963550873315357</v>
      </c>
      <c r="I23" s="56">
        <f>Model!I189</f>
        <v>0.14418595625161179</v>
      </c>
      <c r="J23" s="56">
        <f>Model!J189</f>
        <v>0.13319735753119946</v>
      </c>
      <c r="K23" s="22" cm="1">
        <f t="array" ref="K23">INDEX(K25:K27,$E$6)</f>
        <v>0.13100000000000001</v>
      </c>
      <c r="L23" s="22" cm="1">
        <f t="array" ref="L23">INDEX(L25:L27,$E$6)</f>
        <v>0.13</v>
      </c>
      <c r="M23" s="22" cm="1">
        <f t="array" ref="M23">INDEX(M25:M27,$E$6)</f>
        <v>0.129</v>
      </c>
      <c r="N23" s="22" cm="1">
        <f t="array" ref="N23">INDEX(N25:N27,$E$6)</f>
        <v>0.128</v>
      </c>
      <c r="O23" s="22" cm="1">
        <f t="array" ref="O23">INDEX(O25:O27,$E$6)</f>
        <v>0.128</v>
      </c>
      <c r="Q23" s="14" t="s">
        <v>69</v>
      </c>
    </row>
    <row r="25" spans="2:17" x14ac:dyDescent="0.2">
      <c r="B25" s="1" t="str">
        <f>$B$11</f>
        <v>Best Case</v>
      </c>
      <c r="K25" s="13">
        <v>0.13200000000000001</v>
      </c>
      <c r="L25" s="13">
        <v>0.13100000000000001</v>
      </c>
      <c r="M25" s="13">
        <v>0.13</v>
      </c>
      <c r="N25" s="13">
        <v>0.13</v>
      </c>
      <c r="O25" s="13">
        <v>0.13</v>
      </c>
    </row>
    <row r="26" spans="2:17" x14ac:dyDescent="0.2">
      <c r="B26" s="1" t="str">
        <f>$B$12</f>
        <v>Base Case</v>
      </c>
      <c r="K26" s="13">
        <v>0.13100000000000001</v>
      </c>
      <c r="L26" s="13">
        <v>0.13</v>
      </c>
      <c r="M26" s="13">
        <v>0.129</v>
      </c>
      <c r="N26" s="13">
        <v>0.128</v>
      </c>
      <c r="O26" s="13">
        <v>0.128</v>
      </c>
    </row>
    <row r="27" spans="2:17" x14ac:dyDescent="0.2">
      <c r="B27" s="1" t="str">
        <f>$B$13</f>
        <v>Worst Case</v>
      </c>
      <c r="K27" s="13">
        <v>0.128</v>
      </c>
      <c r="L27" s="13">
        <v>0.126</v>
      </c>
      <c r="M27" s="13">
        <v>0.125</v>
      </c>
      <c r="N27" s="13">
        <v>0.124</v>
      </c>
      <c r="O27" s="13">
        <v>0.124</v>
      </c>
    </row>
    <row r="30" spans="2:17" x14ac:dyDescent="0.2">
      <c r="B30" s="5" t="s">
        <v>70</v>
      </c>
      <c r="C30" s="5"/>
      <c r="D30" s="5"/>
      <c r="E30" s="5"/>
      <c r="F30" s="56"/>
      <c r="G30" s="56">
        <f>Model!G127</f>
        <v>1.2347899979206557E-2</v>
      </c>
      <c r="H30" s="56">
        <f>Model!H127</f>
        <v>1.3751386094566508E-2</v>
      </c>
      <c r="I30" s="56">
        <f>Model!I127</f>
        <v>2.5787546506949064E-2</v>
      </c>
      <c r="J30" s="56">
        <f>Model!J127</f>
        <v>2.0948460431000685E-2</v>
      </c>
      <c r="K30" s="22" cm="1">
        <f t="array" ref="K30">INDEX(K32:K34,$E$6)</f>
        <v>1.7500000000000002E-2</v>
      </c>
      <c r="L30" s="22" cm="1">
        <f t="array" ref="L30">INDEX(L32:L34,$E$6)</f>
        <v>1.6500000000000001E-2</v>
      </c>
      <c r="M30" s="22" cm="1">
        <f t="array" ref="M30">INDEX(M32:M34,$E$6)</f>
        <v>1.6E-2</v>
      </c>
      <c r="N30" s="22" cm="1">
        <f t="array" ref="N30">INDEX(N32:N34,$E$6)</f>
        <v>1.55E-2</v>
      </c>
      <c r="O30" s="22" cm="1">
        <f t="array" ref="O30">INDEX(O32:O34,$E$6)</f>
        <v>1.55E-2</v>
      </c>
      <c r="Q30" s="14" t="s">
        <v>71</v>
      </c>
    </row>
    <row r="32" spans="2:17" x14ac:dyDescent="0.2">
      <c r="B32" s="1" t="str">
        <f>$B$11</f>
        <v>Best Case</v>
      </c>
      <c r="K32" s="13">
        <v>1.55E-2</v>
      </c>
      <c r="L32" s="13">
        <v>1.4999999999999999E-2</v>
      </c>
      <c r="M32" s="13">
        <v>1.4500000000000001E-2</v>
      </c>
      <c r="N32" s="13">
        <v>1.4E-2</v>
      </c>
      <c r="O32" s="13">
        <v>1.4E-2</v>
      </c>
    </row>
    <row r="33" spans="2:17" x14ac:dyDescent="0.2">
      <c r="B33" s="1" t="str">
        <f>$B$12</f>
        <v>Base Case</v>
      </c>
      <c r="K33" s="13">
        <v>1.7500000000000002E-2</v>
      </c>
      <c r="L33" s="13">
        <v>1.6500000000000001E-2</v>
      </c>
      <c r="M33" s="13">
        <v>1.6E-2</v>
      </c>
      <c r="N33" s="13">
        <v>1.55E-2</v>
      </c>
      <c r="O33" s="13">
        <v>1.55E-2</v>
      </c>
    </row>
    <row r="34" spans="2:17" x14ac:dyDescent="0.2">
      <c r="B34" s="1" t="str">
        <f>$B$13</f>
        <v>Worst Case</v>
      </c>
      <c r="K34" s="13">
        <v>2.1999999999999999E-2</v>
      </c>
      <c r="L34" s="13">
        <v>2.1000000000000001E-2</v>
      </c>
      <c r="M34" s="13">
        <v>0.02</v>
      </c>
      <c r="N34" s="13">
        <v>1.9E-2</v>
      </c>
      <c r="O34" s="13">
        <v>1.9E-2</v>
      </c>
    </row>
    <row r="37" spans="2:17" ht="20" x14ac:dyDescent="0.25">
      <c r="B37" s="150" t="s">
        <v>72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</row>
    <row r="38" spans="2:17" ht="17" thickBot="1" x14ac:dyDescent="0.25">
      <c r="B38" s="3" t="s">
        <v>58</v>
      </c>
      <c r="F38" s="4">
        <f>$K$4-5</f>
        <v>2022</v>
      </c>
      <c r="G38" s="4">
        <f>$K$4-4</f>
        <v>2023</v>
      </c>
      <c r="H38" s="4">
        <f>$K$4-3</f>
        <v>2024</v>
      </c>
      <c r="I38" s="4">
        <f>$K$4-2</f>
        <v>2025</v>
      </c>
      <c r="J38" s="4">
        <f>$K$4-1</f>
        <v>2026</v>
      </c>
      <c r="K38" s="17">
        <f>$F$80</f>
        <v>2027</v>
      </c>
      <c r="L38" s="17">
        <f>$K$4+1</f>
        <v>2028</v>
      </c>
      <c r="M38" s="17">
        <f>$K$4+2</f>
        <v>2029</v>
      </c>
      <c r="N38" s="17">
        <f>$K$4+3</f>
        <v>2030</v>
      </c>
      <c r="O38" s="17">
        <f>$K$4+4</f>
        <v>2031</v>
      </c>
      <c r="Q38" s="5" t="s">
        <v>59</v>
      </c>
    </row>
    <row r="40" spans="2:17" x14ac:dyDescent="0.2">
      <c r="B40" s="5" t="s">
        <v>73</v>
      </c>
    </row>
    <row r="41" spans="2:17" x14ac:dyDescent="0.2">
      <c r="B41" s="1" t="s">
        <v>74</v>
      </c>
      <c r="F41" s="55">
        <f>Model!F139</f>
        <v>0.48440677824904699</v>
      </c>
      <c r="G41" s="55">
        <f>Model!G139</f>
        <v>0.49767933322321883</v>
      </c>
      <c r="H41" s="55">
        <f>Model!H139</f>
        <v>0.47247852949333846</v>
      </c>
      <c r="I41" s="55">
        <f>Model!I139</f>
        <v>0.46907298804575404</v>
      </c>
      <c r="J41" s="55">
        <f>Model!J139</f>
        <v>0.49800568504137288</v>
      </c>
      <c r="K41" s="20">
        <v>0.5</v>
      </c>
      <c r="L41" s="20">
        <v>0.505</v>
      </c>
      <c r="M41" s="20">
        <v>0.51</v>
      </c>
      <c r="N41" s="20">
        <v>0.51500000000000001</v>
      </c>
      <c r="O41" s="20">
        <v>0.52</v>
      </c>
      <c r="Q41" s="14" t="s">
        <v>75</v>
      </c>
    </row>
    <row r="42" spans="2:17" x14ac:dyDescent="0.2">
      <c r="B42" s="1" t="s">
        <v>76</v>
      </c>
      <c r="F42" s="55"/>
      <c r="G42" s="55">
        <f>Model!G146</f>
        <v>8.023567574099455E-2</v>
      </c>
      <c r="H42" s="55">
        <f>Model!H146</f>
        <v>-0.10970618273165689</v>
      </c>
      <c r="I42" s="55">
        <f>Model!I146</f>
        <v>-0.23482077455891837</v>
      </c>
      <c r="J42" s="55">
        <f>Model!J146</f>
        <v>-6.0402043985299136E-2</v>
      </c>
      <c r="K42" s="20">
        <v>0.12</v>
      </c>
      <c r="L42" s="20">
        <v>0.12</v>
      </c>
      <c r="M42" s="20">
        <v>0.12</v>
      </c>
      <c r="N42" s="20">
        <v>0.12</v>
      </c>
      <c r="O42" s="20">
        <v>0.12</v>
      </c>
      <c r="Q42" s="14" t="s">
        <v>77</v>
      </c>
    </row>
    <row r="43" spans="2:17" x14ac:dyDescent="0.2">
      <c r="B43" s="1" t="s">
        <v>78</v>
      </c>
      <c r="F43" s="55">
        <f>Model!F157</f>
        <v>0.43683551450493946</v>
      </c>
      <c r="G43" s="55">
        <f>Model!G157</f>
        <v>0.4225987748251126</v>
      </c>
      <c r="H43" s="55">
        <f>Model!H157</f>
        <v>0.37247863419164506</v>
      </c>
      <c r="I43" s="55">
        <f>Model!I157</f>
        <v>0.32021676926906822</v>
      </c>
      <c r="J43" s="55">
        <f>Model!J157</f>
        <v>0.2919310004888368</v>
      </c>
      <c r="K43" s="20">
        <v>0.28000000000000003</v>
      </c>
      <c r="L43" s="20">
        <v>0.28000000000000003</v>
      </c>
      <c r="M43" s="20">
        <v>0.28000000000000003</v>
      </c>
      <c r="N43" s="20">
        <v>0.28000000000000003</v>
      </c>
      <c r="O43" s="20">
        <v>0.28000000000000003</v>
      </c>
      <c r="Q43" s="14" t="s">
        <v>79</v>
      </c>
    </row>
    <row r="44" spans="2:17" x14ac:dyDescent="0.2">
      <c r="B44" s="1" t="s">
        <v>80</v>
      </c>
      <c r="F44" s="55">
        <f>Model!F162</f>
        <v>0.10782400726430302</v>
      </c>
      <c r="G44" s="55">
        <f>Model!G162</f>
        <v>7.4252901965613155E-2</v>
      </c>
      <c r="H44" s="55">
        <f>Model!H162</f>
        <v>5.5215992357223048E-2</v>
      </c>
      <c r="I44" s="55">
        <f>Model!I162</f>
        <v>5.5634404187011099E-2</v>
      </c>
      <c r="J44" s="55">
        <f>Model!J162</f>
        <v>3.8499523982632795E-2</v>
      </c>
      <c r="K44" s="20">
        <v>3.7999999999999999E-2</v>
      </c>
      <c r="L44" s="20">
        <v>3.7999999999999999E-2</v>
      </c>
      <c r="M44" s="20">
        <v>3.7999999999999999E-2</v>
      </c>
      <c r="N44" s="20">
        <v>3.7999999999999999E-2</v>
      </c>
      <c r="O44" s="20">
        <v>3.7999999999999999E-2</v>
      </c>
      <c r="Q44" s="14" t="s">
        <v>81</v>
      </c>
    </row>
    <row r="45" spans="2:17" x14ac:dyDescent="0.2">
      <c r="B45" s="1" t="s">
        <v>82</v>
      </c>
      <c r="F45" s="56">
        <f>Model!F164</f>
        <v>4.1350087225406576E-2</v>
      </c>
      <c r="G45" s="56">
        <f>Model!G164</f>
        <v>2.1835444810194546E-2</v>
      </c>
      <c r="H45" s="56">
        <f>Model!H164</f>
        <v>7.0057625449386329E-3</v>
      </c>
      <c r="I45" s="56">
        <f>Model!I164</f>
        <v>4.2602461069108097E-3</v>
      </c>
      <c r="J45" s="56">
        <f>Model!J164</f>
        <v>4.8400107921041059E-3</v>
      </c>
      <c r="K45" s="13">
        <v>7.0000000000000001E-3</v>
      </c>
      <c r="L45" s="13">
        <v>7.0000000000000001E-3</v>
      </c>
      <c r="M45" s="13">
        <v>7.0000000000000001E-3</v>
      </c>
      <c r="N45" s="13">
        <v>7.0000000000000001E-3</v>
      </c>
      <c r="O45" s="13">
        <v>7.0000000000000001E-3</v>
      </c>
      <c r="Q45" s="14" t="s">
        <v>83</v>
      </c>
    </row>
    <row r="46" spans="2:17" x14ac:dyDescent="0.2">
      <c r="B46" s="1" t="s">
        <v>84</v>
      </c>
      <c r="F46" s="55">
        <f>Model!F251</f>
        <v>7.6870941083237596E-2</v>
      </c>
      <c r="G46" s="55">
        <f>Model!G251</f>
        <v>7.2700182279295575E-2</v>
      </c>
      <c r="H46" s="55">
        <f>Model!H251</f>
        <v>6.0190951988508087E-2</v>
      </c>
      <c r="I46" s="55">
        <f>Model!I251</f>
        <v>5.2466463299935012E-2</v>
      </c>
      <c r="J46" s="55">
        <f>Model!J251</f>
        <v>6.4565538217044374E-2</v>
      </c>
      <c r="K46" s="20">
        <v>0.06</v>
      </c>
      <c r="L46" s="20">
        <v>0.06</v>
      </c>
      <c r="M46" s="20">
        <v>0.06</v>
      </c>
      <c r="N46" s="20">
        <v>0.06</v>
      </c>
      <c r="O46" s="20">
        <v>0.06</v>
      </c>
      <c r="Q46" s="14" t="s">
        <v>85</v>
      </c>
    </row>
    <row r="47" spans="2:17" x14ac:dyDescent="0.2">
      <c r="B47" s="1" t="s">
        <v>86</v>
      </c>
      <c r="F47" s="55">
        <f>Model!F253</f>
        <v>0.10016788098115045</v>
      </c>
      <c r="G47" s="55">
        <f>Model!G253</f>
        <v>8.5531803654257679E-2</v>
      </c>
      <c r="H47" s="55">
        <f>Model!H253</f>
        <v>6.2030805133467655E-2</v>
      </c>
      <c r="I47" s="55">
        <f>Model!I253</f>
        <v>5.8320454723528925E-2</v>
      </c>
      <c r="J47" s="55">
        <f>Model!J253</f>
        <v>7.2444358943752535E-2</v>
      </c>
      <c r="K47" s="20">
        <v>7.0000000000000007E-2</v>
      </c>
      <c r="L47" s="20">
        <v>7.0000000000000007E-2</v>
      </c>
      <c r="M47" s="20">
        <v>7.0000000000000007E-2</v>
      </c>
      <c r="N47" s="20">
        <v>7.0000000000000007E-2</v>
      </c>
      <c r="O47" s="20">
        <v>7.0000000000000007E-2</v>
      </c>
      <c r="Q47" s="14" t="s">
        <v>87</v>
      </c>
    </row>
    <row r="49" spans="2:17" x14ac:dyDescent="0.2">
      <c r="B49" s="5" t="s">
        <v>88</v>
      </c>
    </row>
    <row r="50" spans="2:17" x14ac:dyDescent="0.2">
      <c r="B50" s="1" t="s">
        <v>89</v>
      </c>
      <c r="F50" s="56"/>
      <c r="G50" s="56">
        <f>Model!G191</f>
        <v>6.0263792530120007E-2</v>
      </c>
      <c r="H50" s="56">
        <f>Model!H191</f>
        <v>6.062829363559652E-2</v>
      </c>
      <c r="I50" s="56">
        <f>Model!I191</f>
        <v>6.8423469420253041E-2</v>
      </c>
      <c r="J50" s="56">
        <f>Model!J191</f>
        <v>7.138933069885206E-2</v>
      </c>
      <c r="K50" s="13">
        <v>7.0000000000000007E-2</v>
      </c>
      <c r="L50" s="13">
        <v>7.0000000000000007E-2</v>
      </c>
      <c r="M50" s="13">
        <v>6.9000000000000006E-2</v>
      </c>
      <c r="N50" s="13">
        <v>6.9000000000000006E-2</v>
      </c>
      <c r="O50" s="13">
        <v>6.9000000000000006E-2</v>
      </c>
      <c r="Q50" s="14" t="s">
        <v>90</v>
      </c>
    </row>
    <row r="51" spans="2:17" x14ac:dyDescent="0.2">
      <c r="B51" s="1" t="s">
        <v>91</v>
      </c>
      <c r="F51" s="56">
        <f>Model!F193</f>
        <v>4.1394268221954543E-2</v>
      </c>
      <c r="G51" s="56">
        <f>Model!G193</f>
        <v>9.4155887424157148E-3</v>
      </c>
      <c r="H51" s="56">
        <f>Model!H193</f>
        <v>6.7376794867735987E-3</v>
      </c>
      <c r="I51" s="56">
        <f>Model!I193</f>
        <v>9.1785314509932135E-3</v>
      </c>
      <c r="J51" s="56">
        <f>Model!J193</f>
        <v>8.6743642597116311E-3</v>
      </c>
      <c r="K51" s="13">
        <v>8.9999999999999993E-3</v>
      </c>
      <c r="L51" s="13">
        <v>8.9999999999999993E-3</v>
      </c>
      <c r="M51" s="13">
        <v>8.9999999999999993E-3</v>
      </c>
      <c r="N51" s="13">
        <v>8.9999999999999993E-3</v>
      </c>
      <c r="O51" s="13">
        <v>8.9999999999999993E-3</v>
      </c>
      <c r="Q51" s="14" t="s">
        <v>92</v>
      </c>
    </row>
    <row r="52" spans="2:17" x14ac:dyDescent="0.2">
      <c r="B52" s="1" t="s">
        <v>93</v>
      </c>
      <c r="F52" s="56"/>
      <c r="G52" s="56">
        <f>Model!G195</f>
        <v>1.3913471468983783E-3</v>
      </c>
      <c r="H52" s="56">
        <f>Model!H195</f>
        <v>1.1275253192311833E-3</v>
      </c>
      <c r="I52" s="56">
        <f>Model!I195</f>
        <v>1.0990287929831994E-3</v>
      </c>
      <c r="J52" s="56">
        <f>Model!J195</f>
        <v>1.0499643887272897E-3</v>
      </c>
      <c r="K52" s="13">
        <v>1E-3</v>
      </c>
      <c r="L52" s="13">
        <v>1E-3</v>
      </c>
      <c r="M52" s="13">
        <v>1E-3</v>
      </c>
      <c r="N52" s="13">
        <v>1E-3</v>
      </c>
      <c r="O52" s="13">
        <v>1E-3</v>
      </c>
      <c r="Q52" s="14" t="s">
        <v>94</v>
      </c>
    </row>
    <row r="53" spans="2:17" x14ac:dyDescent="0.2">
      <c r="B53" s="1" t="s">
        <v>95</v>
      </c>
      <c r="F53" s="24"/>
      <c r="G53" s="24"/>
      <c r="H53" s="24"/>
      <c r="I53" s="24"/>
      <c r="J53" s="24"/>
      <c r="K53" s="13">
        <v>4.4999999999999998E-2</v>
      </c>
      <c r="L53" s="13">
        <v>4.4999999999999998E-2</v>
      </c>
      <c r="M53" s="13">
        <v>4.4999999999999998E-2</v>
      </c>
      <c r="N53" s="13">
        <v>4.4999999999999998E-2</v>
      </c>
      <c r="O53" s="13">
        <v>4.4999999999999998E-2</v>
      </c>
      <c r="Q53" s="14" t="s">
        <v>96</v>
      </c>
    </row>
    <row r="54" spans="2:17" x14ac:dyDescent="0.2">
      <c r="B54" s="1" t="s">
        <v>97</v>
      </c>
      <c r="F54" s="24"/>
      <c r="G54" s="24"/>
      <c r="H54" s="24"/>
      <c r="I54" s="24"/>
      <c r="J54" s="24"/>
      <c r="K54" s="13">
        <v>7.0999999999999994E-2</v>
      </c>
      <c r="L54" s="13">
        <v>7.0000000000000007E-2</v>
      </c>
      <c r="M54" s="13">
        <v>7.0000000000000007E-2</v>
      </c>
      <c r="N54" s="13">
        <v>7.0000000000000007E-2</v>
      </c>
      <c r="O54" s="13">
        <v>7.0000000000000007E-2</v>
      </c>
      <c r="Q54" s="14" t="s">
        <v>98</v>
      </c>
    </row>
    <row r="55" spans="2:17" x14ac:dyDescent="0.2">
      <c r="B55" s="1" t="s">
        <v>99</v>
      </c>
      <c r="F55" s="24"/>
      <c r="G55" s="24"/>
      <c r="H55" s="24"/>
      <c r="I55" s="24"/>
      <c r="J55" s="24"/>
      <c r="K55" s="13">
        <v>7.4999999999999997E-2</v>
      </c>
      <c r="L55" s="13">
        <v>7.4999999999999997E-2</v>
      </c>
      <c r="M55" s="13">
        <v>7.4999999999999997E-2</v>
      </c>
      <c r="N55" s="13">
        <v>7.4999999999999997E-2</v>
      </c>
      <c r="O55" s="13">
        <v>7.4999999999999997E-2</v>
      </c>
      <c r="Q55" s="14" t="s">
        <v>100</v>
      </c>
    </row>
    <row r="56" spans="2:17" x14ac:dyDescent="0.2">
      <c r="B56" s="1" t="s">
        <v>101</v>
      </c>
      <c r="F56" s="24"/>
      <c r="G56" s="24"/>
      <c r="H56" s="24"/>
      <c r="I56" s="24"/>
      <c r="J56" s="24"/>
      <c r="K56" s="13">
        <v>5.0000000000000001E-3</v>
      </c>
      <c r="L56" s="13">
        <v>5.0000000000000001E-3</v>
      </c>
      <c r="M56" s="13">
        <v>5.0000000000000001E-3</v>
      </c>
      <c r="N56" s="13">
        <v>5.0000000000000001E-3</v>
      </c>
      <c r="O56" s="13">
        <v>5.0000000000000001E-3</v>
      </c>
      <c r="Q56" s="14" t="s">
        <v>102</v>
      </c>
    </row>
    <row r="58" spans="2:17" x14ac:dyDescent="0.2">
      <c r="B58" s="5" t="s">
        <v>103</v>
      </c>
    </row>
    <row r="59" spans="2:17" x14ac:dyDescent="0.2">
      <c r="B59" s="1" t="s">
        <v>104</v>
      </c>
      <c r="F59" s="55"/>
      <c r="G59" s="55">
        <f>Model!G219</f>
        <v>0.38637943663020957</v>
      </c>
      <c r="H59" s="55">
        <f>Model!H219</f>
        <v>0.34364009608302704</v>
      </c>
      <c r="I59" s="55">
        <f>Model!I219</f>
        <v>0.16989503498833725</v>
      </c>
      <c r="J59" s="55">
        <f>Model!J219</f>
        <v>0.12127815019418353</v>
      </c>
      <c r="K59" s="20">
        <v>0.18</v>
      </c>
      <c r="L59" s="20">
        <v>0.17</v>
      </c>
      <c r="M59" s="20">
        <v>0.16</v>
      </c>
      <c r="N59" s="20">
        <v>0.15</v>
      </c>
      <c r="O59" s="20">
        <v>0.15</v>
      </c>
      <c r="Q59" s="14" t="s">
        <v>105</v>
      </c>
    </row>
    <row r="60" spans="2:17" x14ac:dyDescent="0.2">
      <c r="B60" s="1" t="s">
        <v>106</v>
      </c>
      <c r="F60" s="55"/>
      <c r="G60" s="55">
        <f>Model!G223</f>
        <v>0.38778953770387248</v>
      </c>
      <c r="H60" s="55">
        <f>Model!H223</f>
        <v>0.30738356541420475</v>
      </c>
      <c r="I60" s="55">
        <f>Model!I223</f>
        <v>0.16706489280597148</v>
      </c>
      <c r="J60" s="55">
        <f>Model!J223</f>
        <v>8.2668698225888404E-2</v>
      </c>
      <c r="K60" s="20">
        <v>0.14000000000000001</v>
      </c>
      <c r="L60" s="20">
        <v>0.13</v>
      </c>
      <c r="M60" s="20">
        <v>0.13</v>
      </c>
      <c r="N60" s="20">
        <v>0.12</v>
      </c>
      <c r="O60" s="20">
        <v>0.12</v>
      </c>
      <c r="Q60" s="14" t="s">
        <v>107</v>
      </c>
    </row>
    <row r="61" spans="2:17" x14ac:dyDescent="0.2">
      <c r="B61" s="1" t="s">
        <v>108</v>
      </c>
      <c r="F61" s="55"/>
      <c r="G61" s="55">
        <f>Model!G225</f>
        <v>0.21304392256088533</v>
      </c>
      <c r="H61" s="55">
        <f>Model!H225</f>
        <v>0.3435083980769138</v>
      </c>
      <c r="I61" s="55">
        <f>Model!I225</f>
        <v>0.16476541628949293</v>
      </c>
      <c r="J61" s="55">
        <f>Model!J225</f>
        <v>0.19003361152117715</v>
      </c>
      <c r="K61" s="20">
        <v>0.14000000000000001</v>
      </c>
      <c r="L61" s="20">
        <v>0.13</v>
      </c>
      <c r="M61" s="20">
        <v>0.13</v>
      </c>
      <c r="N61" s="20">
        <v>0.12</v>
      </c>
      <c r="O61" s="20">
        <v>0.12</v>
      </c>
      <c r="Q61" s="14" t="s">
        <v>109</v>
      </c>
    </row>
    <row r="62" spans="2:17" x14ac:dyDescent="0.2">
      <c r="B62" s="1" t="s">
        <v>110</v>
      </c>
      <c r="F62" s="55"/>
      <c r="G62" s="55">
        <f>Model!G235</f>
        <v>1.4381590555812291</v>
      </c>
      <c r="H62" s="55">
        <f>Model!H235</f>
        <v>0.16213352172377249</v>
      </c>
      <c r="I62" s="55">
        <f>Model!I235</f>
        <v>-0.34323522870487067</v>
      </c>
      <c r="J62" s="55">
        <f>Model!J235</f>
        <v>-0.13788082310844219</v>
      </c>
      <c r="K62" s="20">
        <v>0.1</v>
      </c>
      <c r="L62" s="20">
        <v>0.1</v>
      </c>
      <c r="M62" s="20">
        <v>0.1</v>
      </c>
      <c r="N62" s="20">
        <v>0.1</v>
      </c>
      <c r="O62" s="20">
        <v>0.1</v>
      </c>
      <c r="Q62" s="14" t="s">
        <v>111</v>
      </c>
    </row>
    <row r="63" spans="2:17" x14ac:dyDescent="0.2">
      <c r="B63" s="1" t="s">
        <v>112</v>
      </c>
      <c r="F63" s="55"/>
      <c r="G63" s="55">
        <f>Model!G237</f>
        <v>0.31198483713139685</v>
      </c>
      <c r="H63" s="55">
        <f>Model!H237</f>
        <v>0.29582848913703935</v>
      </c>
      <c r="I63" s="55">
        <f>Model!I237</f>
        <v>0.31320172709329891</v>
      </c>
      <c r="J63" s="55">
        <f>Model!J237</f>
        <v>0.31682346534467543</v>
      </c>
      <c r="K63" s="20">
        <v>0.32</v>
      </c>
      <c r="L63" s="20">
        <v>0.32</v>
      </c>
      <c r="M63" s="20">
        <v>0.32</v>
      </c>
      <c r="N63" s="20">
        <v>0.32</v>
      </c>
      <c r="O63" s="20">
        <v>0.32</v>
      </c>
      <c r="Q63" s="14" t="s">
        <v>113</v>
      </c>
    </row>
    <row r="64" spans="2:17" x14ac:dyDescent="0.2">
      <c r="B64" s="1" t="s">
        <v>114</v>
      </c>
      <c r="F64" s="56">
        <f>Model!F263</f>
        <v>0.16943540560597917</v>
      </c>
      <c r="G64" s="56">
        <f>Model!G263</f>
        <v>0.2540455996547426</v>
      </c>
      <c r="H64" s="56">
        <f>Model!H263</f>
        <v>0.23313499268543222</v>
      </c>
      <c r="I64" s="56">
        <f>Model!I263</f>
        <v>0.19749805275456259</v>
      </c>
      <c r="J64" s="56">
        <f>Model!J263</f>
        <v>0.10718514194051754</v>
      </c>
      <c r="K64" s="13">
        <v>0.25169999999999998</v>
      </c>
      <c r="L64" s="13">
        <v>0.25169999999999998</v>
      </c>
      <c r="M64" s="13">
        <v>0.25169999999999998</v>
      </c>
      <c r="N64" s="13">
        <v>0.25169999999999998</v>
      </c>
      <c r="O64" s="13">
        <v>0.25169999999999998</v>
      </c>
      <c r="Q64" s="14" t="s">
        <v>115</v>
      </c>
    </row>
    <row r="66" spans="2:17" x14ac:dyDescent="0.2">
      <c r="B66" s="5" t="s">
        <v>116</v>
      </c>
    </row>
    <row r="67" spans="2:17" x14ac:dyDescent="0.2">
      <c r="B67" s="1" t="s">
        <v>47</v>
      </c>
      <c r="F67" s="56">
        <f>Model!F119</f>
        <v>3.6999999999999998E-2</v>
      </c>
      <c r="G67" s="56">
        <f>Model!G119</f>
        <v>2.5100000000000001E-2</v>
      </c>
      <c r="H67" s="56">
        <f>Model!H119</f>
        <v>1.8800000000000001E-2</v>
      </c>
      <c r="I67" s="56">
        <f>Model!I119</f>
        <v>1.8700000000000001E-2</v>
      </c>
      <c r="J67" s="56">
        <f>Model!J119</f>
        <v>1.61E-2</v>
      </c>
      <c r="K67" s="13">
        <v>1.55E-2</v>
      </c>
      <c r="L67" s="13">
        <v>1.4999999999999999E-2</v>
      </c>
      <c r="M67" s="13">
        <v>1.4500000000000001E-2</v>
      </c>
      <c r="N67" s="13">
        <v>1.4500000000000001E-2</v>
      </c>
      <c r="O67" s="13">
        <v>1.4500000000000001E-2</v>
      </c>
      <c r="Q67" s="14" t="s">
        <v>117</v>
      </c>
    </row>
    <row r="68" spans="2:17" x14ac:dyDescent="0.2">
      <c r="B68" s="1" t="s">
        <v>118</v>
      </c>
      <c r="F68" s="55">
        <f>Model!F120</f>
        <v>0.59543132556000844</v>
      </c>
      <c r="G68" s="55">
        <f>Model!G120</f>
        <v>0.66428966777793508</v>
      </c>
      <c r="H68" s="55">
        <f>Model!H120</f>
        <v>0.68791079938467492</v>
      </c>
      <c r="I68" s="55">
        <f>Model!I120</f>
        <v>0.72258987093951166</v>
      </c>
      <c r="J68" s="55">
        <f>Model!J120</f>
        <v>0.70463220518940362</v>
      </c>
      <c r="K68" s="20">
        <v>0.71</v>
      </c>
      <c r="L68" s="20">
        <v>0.72</v>
      </c>
      <c r="M68" s="20">
        <v>0.72</v>
      </c>
      <c r="N68" s="20">
        <v>0.72</v>
      </c>
      <c r="O68" s="20">
        <v>0.72</v>
      </c>
      <c r="Q68" s="14" t="s">
        <v>119</v>
      </c>
    </row>
    <row r="70" spans="2:17" x14ac:dyDescent="0.2">
      <c r="B70" s="5" t="s">
        <v>120</v>
      </c>
    </row>
    <row r="71" spans="2:17" x14ac:dyDescent="0.2">
      <c r="B71" s="1" t="s">
        <v>121</v>
      </c>
      <c r="F71" s="23"/>
      <c r="G71" s="23"/>
      <c r="H71" s="23"/>
      <c r="I71" s="23"/>
      <c r="J71" s="23"/>
      <c r="K71" s="46">
        <f>'DCF Valuation'!$F$20*'DCF Valuation'!$F$19/Model!$J$30</f>
        <v>0.13141515314478475</v>
      </c>
      <c r="L71" s="20">
        <v>0.15</v>
      </c>
      <c r="M71" s="20">
        <v>0.15</v>
      </c>
      <c r="N71" s="20">
        <v>0.15</v>
      </c>
      <c r="O71" s="20">
        <v>0.15</v>
      </c>
      <c r="Q71" s="14" t="s">
        <v>619</v>
      </c>
    </row>
    <row r="72" spans="2:17" x14ac:dyDescent="0.2">
      <c r="B72" s="1" t="s">
        <v>122</v>
      </c>
      <c r="F72" s="8"/>
      <c r="G72" s="8"/>
      <c r="H72" s="8"/>
      <c r="I72" s="8"/>
      <c r="J72" s="8"/>
      <c r="K72" s="57">
        <v>0</v>
      </c>
      <c r="L72" s="57">
        <v>7500</v>
      </c>
      <c r="M72" s="57">
        <v>0</v>
      </c>
      <c r="N72" s="57">
        <v>10000</v>
      </c>
      <c r="O72" s="57">
        <v>0</v>
      </c>
      <c r="Q72" s="14" t="s">
        <v>287</v>
      </c>
    </row>
    <row r="73" spans="2:17" x14ac:dyDescent="0.2">
      <c r="B73" s="1" t="s">
        <v>123</v>
      </c>
      <c r="F73" s="8"/>
      <c r="G73" s="8"/>
      <c r="H73" s="8"/>
      <c r="I73" s="8"/>
      <c r="J73" s="8"/>
      <c r="K73" s="7">
        <v>0</v>
      </c>
      <c r="L73" s="7">
        <v>0</v>
      </c>
      <c r="M73" s="7">
        <v>0</v>
      </c>
      <c r="N73" s="7">
        <v>0</v>
      </c>
      <c r="O73" s="7">
        <v>0</v>
      </c>
      <c r="Q73" s="14" t="s">
        <v>124</v>
      </c>
    </row>
    <row r="74" spans="2:17" x14ac:dyDescent="0.2">
      <c r="B74" s="1" t="s">
        <v>125</v>
      </c>
      <c r="F74" s="55"/>
      <c r="G74" s="55"/>
      <c r="H74" s="55"/>
      <c r="I74" s="55">
        <f>Model!I295</f>
        <v>0.8041244999362307</v>
      </c>
      <c r="J74" s="55">
        <f>Model!J295</f>
        <v>0.82775257767339039</v>
      </c>
      <c r="K74" s="20">
        <v>0.83</v>
      </c>
      <c r="L74" s="20">
        <v>0.83</v>
      </c>
      <c r="M74" s="20">
        <v>0.83</v>
      </c>
      <c r="N74" s="20">
        <v>0.83</v>
      </c>
      <c r="O74" s="20">
        <v>0.83</v>
      </c>
      <c r="Q74" s="14" t="s">
        <v>126</v>
      </c>
    </row>
    <row r="75" spans="2:17" x14ac:dyDescent="0.2">
      <c r="B75" s="1" t="s">
        <v>127</v>
      </c>
      <c r="F75" s="55"/>
      <c r="G75" s="55"/>
      <c r="H75" s="55"/>
      <c r="I75" s="55">
        <f>Model!I298</f>
        <v>4.3332107778769946E-2</v>
      </c>
      <c r="J75" s="55">
        <f>Model!J298</f>
        <v>4.0649740326880623E-2</v>
      </c>
      <c r="K75" s="20">
        <v>4.2000000000000003E-2</v>
      </c>
      <c r="L75" s="20">
        <v>4.2000000000000003E-2</v>
      </c>
      <c r="M75" s="20">
        <v>4.2000000000000003E-2</v>
      </c>
      <c r="N75" s="20">
        <v>4.2000000000000003E-2</v>
      </c>
      <c r="O75" s="20">
        <v>4.2000000000000003E-2</v>
      </c>
      <c r="Q75" s="14" t="s">
        <v>128</v>
      </c>
    </row>
    <row r="76" spans="2:17" x14ac:dyDescent="0.2">
      <c r="B76" s="1" t="s">
        <v>129</v>
      </c>
      <c r="F76" s="23"/>
      <c r="G76" s="23"/>
      <c r="H76" s="23"/>
      <c r="I76" s="23"/>
      <c r="J76" s="23"/>
      <c r="K76" s="20">
        <v>0.08</v>
      </c>
      <c r="L76" s="20">
        <v>0.08</v>
      </c>
      <c r="M76" s="20">
        <v>0.08</v>
      </c>
      <c r="N76" s="20">
        <v>0.08</v>
      </c>
      <c r="O76" s="20">
        <v>0.08</v>
      </c>
      <c r="Q76" s="14" t="s">
        <v>130</v>
      </c>
    </row>
    <row r="77" spans="2:17" x14ac:dyDescent="0.2">
      <c r="B77" s="1" t="s">
        <v>131</v>
      </c>
      <c r="F77" s="23"/>
      <c r="G77" s="23"/>
      <c r="H77" s="23"/>
      <c r="I77" s="23"/>
      <c r="J77" s="23"/>
      <c r="K77" s="20">
        <v>0.115</v>
      </c>
      <c r="L77" s="20">
        <v>0.115</v>
      </c>
      <c r="M77" s="20">
        <v>0.115</v>
      </c>
      <c r="N77" s="20">
        <v>0.115</v>
      </c>
      <c r="O77" s="20">
        <v>0.115</v>
      </c>
      <c r="Q77" s="14" t="s">
        <v>132</v>
      </c>
    </row>
    <row r="79" spans="2:17" x14ac:dyDescent="0.2">
      <c r="B79" s="5" t="s">
        <v>133</v>
      </c>
    </row>
    <row r="80" spans="2:17" x14ac:dyDescent="0.2">
      <c r="B80" s="1" t="s">
        <v>134</v>
      </c>
      <c r="D80" s="1" t="s">
        <v>135</v>
      </c>
      <c r="F80" s="25">
        <v>2027</v>
      </c>
    </row>
    <row r="82" spans="2:2" x14ac:dyDescent="0.2">
      <c r="B82" s="3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A479-756F-E64C-AC95-6AC482B5DE98}">
  <sheetPr>
    <tabColor rgb="FF9C1D26"/>
  </sheetPr>
  <dimension ref="A3:R329"/>
  <sheetViews>
    <sheetView showGridLines="0" workbookViewId="0">
      <pane ySplit="5" topLeftCell="A6" activePane="bottomLeft" state="frozen"/>
      <selection pane="bottomLeft"/>
    </sheetView>
  </sheetViews>
  <sheetFormatPr baseColWidth="10" defaultRowHeight="16" x14ac:dyDescent="0.2"/>
  <cols>
    <col min="1" max="1" width="2" style="1" customWidth="1"/>
    <col min="2" max="2" width="33.33203125" style="1" customWidth="1"/>
    <col min="3" max="3" width="3.33203125" style="1" customWidth="1"/>
    <col min="4" max="4" width="11.6640625" style="1" customWidth="1"/>
    <col min="5" max="5" width="2" style="1" customWidth="1"/>
    <col min="6" max="15" width="10.33203125" style="1" customWidth="1"/>
    <col min="16" max="16" width="2" style="1" customWidth="1"/>
    <col min="17" max="17" width="53.33203125" style="1" customWidth="1"/>
    <col min="18" max="18" width="10.83203125" style="1"/>
  </cols>
  <sheetData>
    <row r="3" spans="2:15" ht="20" x14ac:dyDescent="0.25">
      <c r="B3" s="150" t="s">
        <v>137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5" spans="2:15" ht="17" thickBot="1" x14ac:dyDescent="0.25">
      <c r="B5" s="3" t="s">
        <v>58</v>
      </c>
      <c r="F5" s="4">
        <f>G5-1</f>
        <v>2022</v>
      </c>
      <c r="G5" s="4">
        <f>H5-1</f>
        <v>2023</v>
      </c>
      <c r="H5" s="4">
        <f>I5-1</f>
        <v>2024</v>
      </c>
      <c r="I5" s="4">
        <f>J5-1</f>
        <v>2025</v>
      </c>
      <c r="J5" s="4">
        <f>K5-1</f>
        <v>2026</v>
      </c>
      <c r="K5" s="37">
        <f>Inputs!$F$80</f>
        <v>2027</v>
      </c>
      <c r="L5" s="16">
        <f>K5+1</f>
        <v>2028</v>
      </c>
      <c r="M5" s="16">
        <f>L5+1</f>
        <v>2029</v>
      </c>
      <c r="N5" s="16">
        <f>M5+1</f>
        <v>2030</v>
      </c>
      <c r="O5" s="16">
        <f>N5+1</f>
        <v>2031</v>
      </c>
    </row>
    <row r="6" spans="2:15" x14ac:dyDescent="0.2">
      <c r="B6" s="3" t="str" cm="1">
        <f t="array" ref="B6">CONCATENATE("Model Running: ",INDEX(Inputs!$B$11:$B$13,Inputs!$E$6)," Drivers")</f>
        <v>Model Running: Base Case Drivers</v>
      </c>
      <c r="K6" s="38"/>
    </row>
    <row r="7" spans="2:15" x14ac:dyDescent="0.2">
      <c r="K7" s="38"/>
    </row>
    <row r="8" spans="2:15" x14ac:dyDescent="0.2">
      <c r="B8" s="5" t="s">
        <v>138</v>
      </c>
      <c r="K8" s="38"/>
    </row>
    <row r="9" spans="2:15" x14ac:dyDescent="0.2">
      <c r="B9" s="1" t="s">
        <v>139</v>
      </c>
      <c r="F9" s="26">
        <f>Historicals!F8</f>
        <v>14174.01</v>
      </c>
      <c r="G9" s="26">
        <f>Historicals!G8</f>
        <v>19159.38</v>
      </c>
      <c r="H9" s="26">
        <f>Historicals!H8</f>
        <v>25915.89</v>
      </c>
      <c r="I9" s="26">
        <f>Historicals!I8</f>
        <v>30834.52</v>
      </c>
      <c r="J9" s="26">
        <f>Historicals!J8</f>
        <v>34198.629999999997</v>
      </c>
      <c r="K9" s="39">
        <f>K190</f>
        <v>40404.285459999999</v>
      </c>
      <c r="L9" s="27">
        <f>L190</f>
        <v>48115.026959999996</v>
      </c>
      <c r="M9" s="27">
        <f>M190</f>
        <v>57033.466852319994</v>
      </c>
      <c r="N9" s="27">
        <f>N190</f>
        <v>67036.19738296319</v>
      </c>
      <c r="O9" s="27">
        <f>O190</f>
        <v>78739.856430649335</v>
      </c>
    </row>
    <row r="10" spans="2:15" x14ac:dyDescent="0.2">
      <c r="B10" s="1" t="s">
        <v>8</v>
      </c>
      <c r="F10" s="26">
        <f>Historicals!F9</f>
        <v>2615.37</v>
      </c>
      <c r="G10" s="26">
        <f>Historicals!G9</f>
        <v>3232.2</v>
      </c>
      <c r="H10" s="26">
        <f>Historicals!H9</f>
        <v>4117.6899999999996</v>
      </c>
      <c r="I10" s="26">
        <f>Historicals!I9</f>
        <v>5317.39</v>
      </c>
      <c r="J10" s="26">
        <f>Historicals!J9</f>
        <v>5949.65</v>
      </c>
      <c r="K10" s="39">
        <f>K192</f>
        <v>6529.5564698000017</v>
      </c>
      <c r="L10" s="27">
        <f>L192</f>
        <v>7780.8303607580019</v>
      </c>
      <c r="M10" s="27">
        <f>M192</f>
        <v>9238.3151842489224</v>
      </c>
      <c r="N10" s="27">
        <f>N192</f>
        <v>11035.587411002803</v>
      </c>
      <c r="O10" s="27">
        <f>O192</f>
        <v>13072.383955079209</v>
      </c>
    </row>
    <row r="11" spans="2:15" x14ac:dyDescent="0.2">
      <c r="B11" s="1" t="s">
        <v>140</v>
      </c>
      <c r="F11" s="26">
        <f>Historicals!F10</f>
        <v>241.24</v>
      </c>
      <c r="G11" s="26">
        <f>Historicals!G10</f>
        <v>148.37</v>
      </c>
      <c r="H11" s="26">
        <f>Historicals!H10</f>
        <v>93.64</v>
      </c>
      <c r="I11" s="26">
        <f>Historicals!I10</f>
        <v>114.55</v>
      </c>
      <c r="J11" s="26">
        <f>Historicals!J10</f>
        <v>130.96</v>
      </c>
      <c r="K11" s="39">
        <f>K194</f>
        <v>114.86150999999998</v>
      </c>
      <c r="L11" s="27">
        <f>L194</f>
        <v>145.49987515499998</v>
      </c>
      <c r="M11" s="27">
        <f>M194</f>
        <v>192.10584380859981</v>
      </c>
      <c r="N11" s="27">
        <f>N194</f>
        <v>211.26581872506</v>
      </c>
      <c r="O11" s="27">
        <f>O194</f>
        <v>282.19563543377257</v>
      </c>
    </row>
    <row r="12" spans="2:15" x14ac:dyDescent="0.2">
      <c r="B12" s="1" t="s">
        <v>10</v>
      </c>
      <c r="F12" s="26">
        <f>Historicals!F11</f>
        <v>142.06</v>
      </c>
      <c r="G12" s="26">
        <f>Historicals!G11</f>
        <v>187.59</v>
      </c>
      <c r="H12" s="26">
        <f>Historicals!H11</f>
        <v>195.28</v>
      </c>
      <c r="I12" s="26">
        <f>Historicals!I11</f>
        <v>235.03</v>
      </c>
      <c r="J12" s="26">
        <f>Historicals!J11</f>
        <v>269.58</v>
      </c>
      <c r="K12" s="39">
        <f>K196</f>
        <v>308.42965999999996</v>
      </c>
      <c r="L12" s="27">
        <f>L196</f>
        <v>370.11559199999994</v>
      </c>
      <c r="M12" s="27">
        <f>M196</f>
        <v>442.11989807999998</v>
      </c>
      <c r="N12" s="27">
        <f>N196</f>
        <v>523.72029205439992</v>
      </c>
      <c r="O12" s="27">
        <f>O196</f>
        <v>615.15512836444793</v>
      </c>
    </row>
    <row r="13" spans="2:15" x14ac:dyDescent="0.2">
      <c r="B13" s="5" t="s">
        <v>11</v>
      </c>
      <c r="C13" s="5"/>
      <c r="D13" s="5"/>
      <c r="E13" s="5"/>
      <c r="F13" s="29">
        <f t="shared" ref="F13:O13" si="0">SUM(F9:F12)</f>
        <v>17172.680000000004</v>
      </c>
      <c r="G13" s="29">
        <f t="shared" si="0"/>
        <v>22727.54</v>
      </c>
      <c r="H13" s="29">
        <f t="shared" si="0"/>
        <v>30322.499999999996</v>
      </c>
      <c r="I13" s="29">
        <f t="shared" si="0"/>
        <v>36501.490000000005</v>
      </c>
      <c r="J13" s="29">
        <f t="shared" si="0"/>
        <v>40548.82</v>
      </c>
      <c r="K13" s="40">
        <f t="shared" si="0"/>
        <v>47357.133099800005</v>
      </c>
      <c r="L13" s="29">
        <f t="shared" si="0"/>
        <v>56411.472787913001</v>
      </c>
      <c r="M13" s="29">
        <f t="shared" si="0"/>
        <v>66906.007778457511</v>
      </c>
      <c r="N13" s="29">
        <f t="shared" si="0"/>
        <v>78806.770904745455</v>
      </c>
      <c r="O13" s="29">
        <f t="shared" si="0"/>
        <v>92709.591149526765</v>
      </c>
    </row>
    <row r="14" spans="2:15" x14ac:dyDescent="0.2">
      <c r="K14" s="38"/>
    </row>
    <row r="15" spans="2:15" x14ac:dyDescent="0.2">
      <c r="B15" s="1" t="s">
        <v>13</v>
      </c>
      <c r="F15" s="26">
        <f>-Historicals!F14</f>
        <v>-7466.52</v>
      </c>
      <c r="G15" s="26">
        <f>-Historicals!G14</f>
        <v>-10092.209999999999</v>
      </c>
      <c r="H15" s="26">
        <f>-Historicals!H14</f>
        <v>-13871.75</v>
      </c>
      <c r="I15" s="26">
        <f>-Historicals!I14</f>
        <v>-17209.52</v>
      </c>
      <c r="J15" s="26">
        <f>-Historicals!J14</f>
        <v>-19333.55</v>
      </c>
      <c r="K15" s="39">
        <f>-K207</f>
        <v>-21869.615588999997</v>
      </c>
      <c r="L15" s="27">
        <f>-L207</f>
        <v>-26046.558008789492</v>
      </c>
      <c r="M15" s="27">
        <f>-M207</f>
        <v>-31027.432240326252</v>
      </c>
      <c r="N15" s="27">
        <f>-N207</f>
        <v>-36962.497952340345</v>
      </c>
      <c r="O15" s="27">
        <f>-O207</f>
        <v>-43148.648656084566</v>
      </c>
    </row>
    <row r="16" spans="2:15" x14ac:dyDescent="0.2">
      <c r="B16" s="5" t="s">
        <v>141</v>
      </c>
      <c r="C16" s="5"/>
      <c r="D16" s="5"/>
      <c r="E16" s="5"/>
      <c r="F16" s="29">
        <f t="shared" ref="F16:O16" si="1">F13+F15</f>
        <v>9706.1600000000035</v>
      </c>
      <c r="G16" s="29">
        <f t="shared" si="1"/>
        <v>12635.330000000002</v>
      </c>
      <c r="H16" s="29">
        <f t="shared" si="1"/>
        <v>16450.749999999996</v>
      </c>
      <c r="I16" s="29">
        <f t="shared" si="1"/>
        <v>19291.970000000005</v>
      </c>
      <c r="J16" s="29">
        <f t="shared" si="1"/>
        <v>21215.27</v>
      </c>
      <c r="K16" s="40">
        <f t="shared" si="1"/>
        <v>25487.517510800008</v>
      </c>
      <c r="L16" s="29">
        <f t="shared" si="1"/>
        <v>30364.914779123508</v>
      </c>
      <c r="M16" s="29">
        <f t="shared" si="1"/>
        <v>35878.575538131263</v>
      </c>
      <c r="N16" s="29">
        <f t="shared" si="1"/>
        <v>41844.27295240511</v>
      </c>
      <c r="O16" s="29">
        <f t="shared" si="1"/>
        <v>49560.942493442199</v>
      </c>
    </row>
    <row r="17" spans="2:17" x14ac:dyDescent="0.2">
      <c r="K17" s="38"/>
    </row>
    <row r="18" spans="2:17" x14ac:dyDescent="0.2">
      <c r="B18" s="1" t="s">
        <v>142</v>
      </c>
      <c r="F18" s="26">
        <f>Historicals!F13</f>
        <v>3222.04</v>
      </c>
      <c r="G18" s="26">
        <f>Historicals!G13</f>
        <v>4466.97</v>
      </c>
      <c r="H18" s="26">
        <f>Historicals!H13</f>
        <v>6002</v>
      </c>
      <c r="I18" s="26">
        <f>Historicals!I13</f>
        <v>7021.71</v>
      </c>
      <c r="J18" s="26">
        <f>Historicals!J13</f>
        <v>7873.29</v>
      </c>
      <c r="K18" s="39">
        <f>K220</f>
        <v>9290.4822000000004</v>
      </c>
      <c r="L18" s="27">
        <f>L220</f>
        <v>10869.864174</v>
      </c>
      <c r="M18" s="27">
        <f>M220</f>
        <v>12609.04244184</v>
      </c>
      <c r="N18" s="27">
        <f>N220</f>
        <v>14500.398808115999</v>
      </c>
      <c r="O18" s="27">
        <f>O220</f>
        <v>16675.458629333396</v>
      </c>
    </row>
    <row r="19" spans="2:17" x14ac:dyDescent="0.2">
      <c r="B19" s="5" t="s">
        <v>143</v>
      </c>
      <c r="C19" s="5"/>
      <c r="D19" s="5"/>
      <c r="E19" s="5"/>
      <c r="F19" s="29">
        <f t="shared" ref="F19:O19" si="2">F16+F18</f>
        <v>12928.200000000004</v>
      </c>
      <c r="G19" s="29">
        <f t="shared" si="2"/>
        <v>17102.300000000003</v>
      </c>
      <c r="H19" s="29">
        <f t="shared" si="2"/>
        <v>22452.749999999996</v>
      </c>
      <c r="I19" s="29">
        <f t="shared" si="2"/>
        <v>26313.680000000004</v>
      </c>
      <c r="J19" s="29">
        <f t="shared" si="2"/>
        <v>29088.560000000001</v>
      </c>
      <c r="K19" s="40">
        <f t="shared" si="2"/>
        <v>34777.99971080001</v>
      </c>
      <c r="L19" s="29">
        <f t="shared" si="2"/>
        <v>41234.77895312351</v>
      </c>
      <c r="M19" s="29">
        <f t="shared" si="2"/>
        <v>48487.617979971263</v>
      </c>
      <c r="N19" s="29">
        <f t="shared" si="2"/>
        <v>56344.671760521109</v>
      </c>
      <c r="O19" s="29">
        <f t="shared" si="2"/>
        <v>66236.401122775598</v>
      </c>
    </row>
    <row r="20" spans="2:17" x14ac:dyDescent="0.2">
      <c r="K20" s="38"/>
    </row>
    <row r="21" spans="2:17" x14ac:dyDescent="0.2">
      <c r="B21" s="1" t="s">
        <v>14</v>
      </c>
      <c r="F21" s="26">
        <f>-Historicals!F15</f>
        <v>-2696.54</v>
      </c>
      <c r="G21" s="26">
        <f>-Historicals!G15</f>
        <v>-3742.23</v>
      </c>
      <c r="H21" s="26">
        <f>-Historicals!H15</f>
        <v>-4892.53</v>
      </c>
      <c r="I21" s="26">
        <f>-Historicals!I15</f>
        <v>-5709.9</v>
      </c>
      <c r="J21" s="26">
        <f>-Historicals!J15</f>
        <v>-6181.93</v>
      </c>
      <c r="K21" s="39">
        <f>-K224</f>
        <v>-7047.400200000001</v>
      </c>
      <c r="L21" s="27">
        <f>-L224</f>
        <v>-7963.562226</v>
      </c>
      <c r="M21" s="27">
        <f>-M224</f>
        <v>-8998.8253153799997</v>
      </c>
      <c r="N21" s="27">
        <f>-N224</f>
        <v>-10078.684353225601</v>
      </c>
      <c r="O21" s="27">
        <f>-O224</f>
        <v>-11288.126475612675</v>
      </c>
    </row>
    <row r="22" spans="2:17" x14ac:dyDescent="0.2">
      <c r="B22" s="1" t="s">
        <v>144</v>
      </c>
      <c r="F22" s="26">
        <f>-Historicals!F16</f>
        <v>-6947.91</v>
      </c>
      <c r="G22" s="26">
        <f>-Historicals!G16</f>
        <v>-8428.1200000000008</v>
      </c>
      <c r="H22" s="26">
        <f>-Historicals!H16</f>
        <v>-11323.25</v>
      </c>
      <c r="I22" s="26">
        <f>-Historicals!I16</f>
        <v>-13188.93</v>
      </c>
      <c r="J22" s="26">
        <f>-Historicals!J16</f>
        <v>-15695.27</v>
      </c>
      <c r="K22" s="39">
        <f>-K226</f>
        <v>-17892.607800000002</v>
      </c>
      <c r="L22" s="27">
        <f>-L226</f>
        <v>-20218.646814</v>
      </c>
      <c r="M22" s="27">
        <f>-M226</f>
        <v>-22847.070899819999</v>
      </c>
      <c r="N22" s="27">
        <f>-N226</f>
        <v>-25588.719407798402</v>
      </c>
      <c r="O22" s="27">
        <f>-O226</f>
        <v>-28659.365736734213</v>
      </c>
      <c r="Q22" s="1" t="s">
        <v>284</v>
      </c>
    </row>
    <row r="23" spans="2:17" x14ac:dyDescent="0.2">
      <c r="B23" s="5" t="s">
        <v>145</v>
      </c>
      <c r="C23" s="5"/>
      <c r="D23" s="5"/>
      <c r="E23" s="5"/>
      <c r="F23" s="29">
        <f t="shared" ref="F23:O23" si="3">SUM(F21:F22)</f>
        <v>-9644.4500000000007</v>
      </c>
      <c r="G23" s="29">
        <f t="shared" si="3"/>
        <v>-12170.35</v>
      </c>
      <c r="H23" s="29">
        <f t="shared" si="3"/>
        <v>-16215.779999999999</v>
      </c>
      <c r="I23" s="29">
        <f t="shared" si="3"/>
        <v>-18898.830000000002</v>
      </c>
      <c r="J23" s="29">
        <f t="shared" si="3"/>
        <v>-21877.200000000001</v>
      </c>
      <c r="K23" s="40">
        <f t="shared" si="3"/>
        <v>-24940.008000000002</v>
      </c>
      <c r="L23" s="29">
        <f t="shared" si="3"/>
        <v>-28182.209040000002</v>
      </c>
      <c r="M23" s="29">
        <f t="shared" si="3"/>
        <v>-31845.896215199999</v>
      </c>
      <c r="N23" s="29">
        <f t="shared" si="3"/>
        <v>-35667.403761024005</v>
      </c>
      <c r="O23" s="29">
        <f t="shared" si="3"/>
        <v>-39947.492212346886</v>
      </c>
    </row>
    <row r="24" spans="2:17" x14ac:dyDescent="0.2">
      <c r="B24" s="5" t="s">
        <v>146</v>
      </c>
      <c r="C24" s="5"/>
      <c r="D24" s="5"/>
      <c r="E24" s="5"/>
      <c r="F24" s="29">
        <f t="shared" ref="F24:O24" si="4">F19+F23</f>
        <v>3283.7500000000036</v>
      </c>
      <c r="G24" s="29">
        <f t="shared" si="4"/>
        <v>4931.9500000000025</v>
      </c>
      <c r="H24" s="29">
        <f t="shared" si="4"/>
        <v>6236.9699999999975</v>
      </c>
      <c r="I24" s="29">
        <f t="shared" si="4"/>
        <v>7414.8500000000022</v>
      </c>
      <c r="J24" s="29">
        <f t="shared" si="4"/>
        <v>7211.3600000000006</v>
      </c>
      <c r="K24" s="40">
        <f t="shared" si="4"/>
        <v>9837.9917108000081</v>
      </c>
      <c r="L24" s="29">
        <f t="shared" si="4"/>
        <v>13052.569913123509</v>
      </c>
      <c r="M24" s="29">
        <f t="shared" si="4"/>
        <v>16641.721764771264</v>
      </c>
      <c r="N24" s="29">
        <f t="shared" si="4"/>
        <v>20677.267999497104</v>
      </c>
      <c r="O24" s="29">
        <f t="shared" si="4"/>
        <v>26288.908910428712</v>
      </c>
    </row>
    <row r="25" spans="2:17" x14ac:dyDescent="0.2">
      <c r="K25" s="38"/>
    </row>
    <row r="26" spans="2:17" x14ac:dyDescent="0.2">
      <c r="B26" s="1" t="s">
        <v>16</v>
      </c>
      <c r="F26" s="26">
        <f>-Historicals!F17</f>
        <v>-3108.58</v>
      </c>
      <c r="G26" s="26">
        <f>-Historicals!G17</f>
        <v>-1664.82</v>
      </c>
      <c r="H26" s="26">
        <f>-Historicals!H17</f>
        <v>-2381.65</v>
      </c>
      <c r="I26" s="26">
        <f>-Historicals!I17</f>
        <v>-5514.73</v>
      </c>
      <c r="J26" s="26">
        <f>-Historicals!J17</f>
        <v>-5378.55</v>
      </c>
      <c r="K26" s="39">
        <f>-K128</f>
        <v>-5397.5190499999999</v>
      </c>
      <c r="L26" s="27">
        <f>-L128</f>
        <v>-6106.907267999999</v>
      </c>
      <c r="M26" s="27">
        <f>-M128</f>
        <v>-7073.9183692799998</v>
      </c>
      <c r="N26" s="27">
        <f>-N128</f>
        <v>-8117.6645268431994</v>
      </c>
      <c r="O26" s="27">
        <f>-O128</f>
        <v>-9534.9044896489431</v>
      </c>
    </row>
    <row r="27" spans="2:17" x14ac:dyDescent="0.2">
      <c r="B27" s="5" t="s">
        <v>147</v>
      </c>
      <c r="C27" s="5"/>
      <c r="D27" s="5"/>
      <c r="E27" s="5"/>
      <c r="F27" s="29">
        <f t="shared" ref="F27:O27" si="5">F24+F26</f>
        <v>175.17000000000371</v>
      </c>
      <c r="G27" s="29">
        <f t="shared" si="5"/>
        <v>3267.1300000000028</v>
      </c>
      <c r="H27" s="29">
        <f t="shared" si="5"/>
        <v>3855.3199999999974</v>
      </c>
      <c r="I27" s="29">
        <f t="shared" si="5"/>
        <v>1900.1200000000026</v>
      </c>
      <c r="J27" s="29">
        <f t="shared" si="5"/>
        <v>1832.8100000000004</v>
      </c>
      <c r="K27" s="40">
        <f t="shared" si="5"/>
        <v>4440.4726608000083</v>
      </c>
      <c r="L27" s="29">
        <f t="shared" si="5"/>
        <v>6945.6626451235097</v>
      </c>
      <c r="M27" s="29">
        <f t="shared" si="5"/>
        <v>9567.8033954912644</v>
      </c>
      <c r="N27" s="29">
        <f t="shared" si="5"/>
        <v>12559.603472653904</v>
      </c>
      <c r="O27" s="29">
        <f t="shared" si="5"/>
        <v>16754.004420779769</v>
      </c>
    </row>
    <row r="28" spans="2:17" x14ac:dyDescent="0.2">
      <c r="K28" s="38"/>
    </row>
    <row r="29" spans="2:17" x14ac:dyDescent="0.2">
      <c r="B29" s="1" t="s">
        <v>17</v>
      </c>
      <c r="F29" s="26">
        <f>-Historicals!F18</f>
        <v>-29.68</v>
      </c>
      <c r="G29" s="26">
        <f>-Historicals!G18</f>
        <v>-830</v>
      </c>
      <c r="H29" s="26">
        <f>-Historicals!H18</f>
        <v>-898.81</v>
      </c>
      <c r="I29" s="26">
        <f>-Historicals!I18</f>
        <v>-375.27</v>
      </c>
      <c r="J29" s="26">
        <f>-Historicals!J18</f>
        <v>-196.45</v>
      </c>
      <c r="K29" s="39">
        <f>-K264</f>
        <v>-1117.6669687233621</v>
      </c>
      <c r="L29" s="27">
        <f>-L264</f>
        <v>-1748.2232877775873</v>
      </c>
      <c r="M29" s="27">
        <f>-M264</f>
        <v>-2408.2161146451513</v>
      </c>
      <c r="N29" s="27">
        <f>-N264</f>
        <v>-3161.2521940669872</v>
      </c>
      <c r="O29" s="27">
        <f>-O264</f>
        <v>-4216.9829127102676</v>
      </c>
    </row>
    <row r="30" spans="2:17" ht="17" thickBot="1" x14ac:dyDescent="0.25">
      <c r="B30" s="5" t="s">
        <v>148</v>
      </c>
      <c r="C30" s="5"/>
      <c r="D30" s="5"/>
      <c r="E30" s="5"/>
      <c r="F30" s="30">
        <f t="shared" ref="F30:O30" si="6">F27+F29</f>
        <v>145.4900000000037</v>
      </c>
      <c r="G30" s="30">
        <f t="shared" si="6"/>
        <v>2437.1300000000028</v>
      </c>
      <c r="H30" s="30">
        <f t="shared" si="6"/>
        <v>2956.5099999999975</v>
      </c>
      <c r="I30" s="30">
        <f t="shared" si="6"/>
        <v>1524.8500000000026</v>
      </c>
      <c r="J30" s="30">
        <f t="shared" si="6"/>
        <v>1636.3600000000004</v>
      </c>
      <c r="K30" s="41">
        <f t="shared" si="6"/>
        <v>3322.8056920766462</v>
      </c>
      <c r="L30" s="30">
        <f t="shared" si="6"/>
        <v>5197.439357345922</v>
      </c>
      <c r="M30" s="30">
        <f t="shared" si="6"/>
        <v>7159.5872808461136</v>
      </c>
      <c r="N30" s="30">
        <f t="shared" si="6"/>
        <v>9398.351278586917</v>
      </c>
      <c r="O30" s="30">
        <f t="shared" si="6"/>
        <v>12537.021508069502</v>
      </c>
    </row>
    <row r="31" spans="2:17" x14ac:dyDescent="0.2">
      <c r="K31" s="38"/>
    </row>
    <row r="32" spans="2:17" x14ac:dyDescent="0.2">
      <c r="B32" s="5" t="s">
        <v>149</v>
      </c>
      <c r="K32" s="38"/>
    </row>
    <row r="33" spans="2:17" x14ac:dyDescent="0.2">
      <c r="B33" s="1" t="s">
        <v>150</v>
      </c>
      <c r="F33" s="24"/>
      <c r="G33" s="31">
        <f t="shared" ref="G33:O33" si="7">G16/G210</f>
        <v>6.2154734486803594E-2</v>
      </c>
      <c r="H33" s="31">
        <f t="shared" si="7"/>
        <v>6.4690452307408136E-2</v>
      </c>
      <c r="I33" s="31">
        <f t="shared" si="7"/>
        <v>6.3178992238488704E-2</v>
      </c>
      <c r="J33" s="31">
        <f t="shared" si="7"/>
        <v>5.9926361988611877E-2</v>
      </c>
      <c r="K33" s="42">
        <f t="shared" si="7"/>
        <v>6.1242519921555494E-2</v>
      </c>
      <c r="L33" s="31">
        <f t="shared" si="7"/>
        <v>6.0726649338216476E-2</v>
      </c>
      <c r="M33" s="31">
        <f t="shared" si="7"/>
        <v>5.9955703030416536E-2</v>
      </c>
      <c r="N33" s="31">
        <f t="shared" si="7"/>
        <v>5.8846839198189747E-2</v>
      </c>
      <c r="O33" s="31">
        <f t="shared" si="7"/>
        <v>5.9148212209051615E-2</v>
      </c>
    </row>
    <row r="34" spans="2:17" x14ac:dyDescent="0.2">
      <c r="B34" s="1" t="s">
        <v>151</v>
      </c>
      <c r="F34" s="32">
        <f t="shared" ref="F34:O34" si="8">-F23/F19</f>
        <v>0.74600099008369281</v>
      </c>
      <c r="G34" s="32">
        <f t="shared" si="8"/>
        <v>0.71162065920957995</v>
      </c>
      <c r="H34" s="32">
        <f t="shared" si="8"/>
        <v>0.72221799111467422</v>
      </c>
      <c r="I34" s="32">
        <f t="shared" si="8"/>
        <v>0.71821311196305493</v>
      </c>
      <c r="J34" s="32">
        <f t="shared" si="8"/>
        <v>0.75208948122560892</v>
      </c>
      <c r="K34" s="43">
        <f t="shared" si="8"/>
        <v>0.71712025439620375</v>
      </c>
      <c r="L34" s="32">
        <f t="shared" si="8"/>
        <v>0.6834572599998191</v>
      </c>
      <c r="M34" s="32">
        <f t="shared" si="8"/>
        <v>0.65678409338141863</v>
      </c>
      <c r="N34" s="32">
        <f t="shared" si="8"/>
        <v>0.63302176845788283</v>
      </c>
      <c r="O34" s="32">
        <f t="shared" si="8"/>
        <v>0.60310481148123263</v>
      </c>
    </row>
    <row r="35" spans="2:17" x14ac:dyDescent="0.2">
      <c r="B35" s="1" t="s">
        <v>70</v>
      </c>
      <c r="F35" s="24"/>
      <c r="G35" s="31">
        <f t="shared" ref="G35:O35" si="9">-G26/G116</f>
        <v>1.2347899979206557E-2</v>
      </c>
      <c r="H35" s="31">
        <f t="shared" si="9"/>
        <v>1.3751386094566508E-2</v>
      </c>
      <c r="I35" s="31">
        <f t="shared" si="9"/>
        <v>2.5787546506949064E-2</v>
      </c>
      <c r="J35" s="31">
        <f t="shared" si="9"/>
        <v>2.0948460431000685E-2</v>
      </c>
      <c r="K35" s="42">
        <f t="shared" si="9"/>
        <v>1.7500000000000002E-2</v>
      </c>
      <c r="L35" s="31">
        <f t="shared" si="9"/>
        <v>1.6500000000000001E-2</v>
      </c>
      <c r="M35" s="31">
        <f t="shared" si="9"/>
        <v>1.6E-2</v>
      </c>
      <c r="N35" s="31">
        <f t="shared" si="9"/>
        <v>1.55E-2</v>
      </c>
      <c r="O35" s="31">
        <f t="shared" si="9"/>
        <v>1.55E-2</v>
      </c>
    </row>
    <row r="36" spans="2:17" x14ac:dyDescent="0.2">
      <c r="B36" s="1" t="s">
        <v>152</v>
      </c>
      <c r="F36" s="32">
        <f t="shared" ref="F36:O36" si="10">-F29/F27</f>
        <v>0.16943540560597917</v>
      </c>
      <c r="G36" s="32">
        <f t="shared" si="10"/>
        <v>0.2540455996547426</v>
      </c>
      <c r="H36" s="32">
        <f t="shared" si="10"/>
        <v>0.23313499268543222</v>
      </c>
      <c r="I36" s="32">
        <f t="shared" si="10"/>
        <v>0.19749805275456259</v>
      </c>
      <c r="J36" s="32">
        <f t="shared" si="10"/>
        <v>0.10718514194051754</v>
      </c>
      <c r="K36" s="43">
        <f t="shared" si="10"/>
        <v>0.25169999999999998</v>
      </c>
      <c r="L36" s="32">
        <f t="shared" si="10"/>
        <v>0.25169999999999998</v>
      </c>
      <c r="M36" s="32">
        <f t="shared" si="10"/>
        <v>0.25169999999999998</v>
      </c>
      <c r="N36" s="32">
        <f t="shared" si="10"/>
        <v>0.25169999999999998</v>
      </c>
      <c r="O36" s="32">
        <f t="shared" si="10"/>
        <v>0.25169999999999998</v>
      </c>
    </row>
    <row r="37" spans="2:17" x14ac:dyDescent="0.2">
      <c r="B37" s="1" t="s">
        <v>153</v>
      </c>
      <c r="F37" s="24"/>
      <c r="G37" s="31">
        <f t="shared" ref="G37:O37" si="11">G30/AVERAGE(F90,G90)</f>
        <v>1.1332239708863009E-2</v>
      </c>
      <c r="H37" s="31">
        <f t="shared" si="11"/>
        <v>1.1030585641714498E-2</v>
      </c>
      <c r="I37" s="31">
        <f t="shared" si="11"/>
        <v>4.7656495691936942E-3</v>
      </c>
      <c r="J37" s="31">
        <f t="shared" si="11"/>
        <v>4.4011908895918786E-3</v>
      </c>
      <c r="K37" s="42">
        <f t="shared" si="11"/>
        <v>7.5882618575782651E-3</v>
      </c>
      <c r="L37" s="31">
        <f t="shared" si="11"/>
        <v>9.9024944555414374E-3</v>
      </c>
      <c r="M37" s="31">
        <f t="shared" si="11"/>
        <v>1.1406010992750897E-2</v>
      </c>
      <c r="N37" s="31">
        <f t="shared" si="11"/>
        <v>1.2607845513089164E-2</v>
      </c>
      <c r="O37" s="31">
        <f t="shared" si="11"/>
        <v>1.4279140492146073E-2</v>
      </c>
    </row>
    <row r="38" spans="2:17" x14ac:dyDescent="0.2">
      <c r="B38" s="1" t="s">
        <v>154</v>
      </c>
      <c r="F38" s="23"/>
      <c r="G38" s="32">
        <f t="shared" ref="G38:O38" si="12">G30/AVERAGE(F101,G101)</f>
        <v>0.10431881244696335</v>
      </c>
      <c r="H38" s="32">
        <f t="shared" si="12"/>
        <v>0.1021556090893133</v>
      </c>
      <c r="I38" s="32">
        <f t="shared" si="12"/>
        <v>4.3418706704265821E-2</v>
      </c>
      <c r="J38" s="32">
        <f t="shared" si="12"/>
        <v>3.8308862570736416E-2</v>
      </c>
      <c r="K38" s="43">
        <f t="shared" si="12"/>
        <v>6.7943086895293145E-2</v>
      </c>
      <c r="L38" s="32">
        <f t="shared" si="12"/>
        <v>9.189393420037012E-2</v>
      </c>
      <c r="M38" s="32">
        <f t="shared" si="12"/>
        <v>0.10872799843843635</v>
      </c>
      <c r="N38" s="32">
        <f t="shared" si="12"/>
        <v>0.12018229121335781</v>
      </c>
      <c r="O38" s="32">
        <f t="shared" si="12"/>
        <v>0.13491310369148113</v>
      </c>
    </row>
    <row r="39" spans="2:17" x14ac:dyDescent="0.2">
      <c r="B39" s="1" t="s">
        <v>155</v>
      </c>
      <c r="F39" s="24"/>
      <c r="G39" s="31">
        <f t="shared" ref="G39:O39" si="13">-G15/AVERAGE(F93+F94,G93+G94)</f>
        <v>5.599840153747148E-2</v>
      </c>
      <c r="H39" s="31">
        <f t="shared" si="13"/>
        <v>6.1195124559380101E-2</v>
      </c>
      <c r="I39" s="31">
        <f t="shared" si="13"/>
        <v>6.3439157727139026E-2</v>
      </c>
      <c r="J39" s="31">
        <f t="shared" si="13"/>
        <v>6.2152234018798359E-2</v>
      </c>
      <c r="K39" s="42">
        <f t="shared" si="13"/>
        <v>5.9795314120876186E-2</v>
      </c>
      <c r="L39" s="31">
        <f t="shared" si="13"/>
        <v>5.9127673006251887E-2</v>
      </c>
      <c r="M39" s="31">
        <f t="shared" si="13"/>
        <v>5.872156614983861E-2</v>
      </c>
      <c r="N39" s="31">
        <f t="shared" si="13"/>
        <v>5.8927675159225479E-2</v>
      </c>
      <c r="O39" s="31">
        <f t="shared" si="13"/>
        <v>5.8490369771775894E-2</v>
      </c>
    </row>
    <row r="40" spans="2:17" x14ac:dyDescent="0.2">
      <c r="K40" s="38"/>
    </row>
    <row r="41" spans="2:17" x14ac:dyDescent="0.2">
      <c r="K41" s="38"/>
    </row>
    <row r="42" spans="2:17" ht="20" x14ac:dyDescent="0.25">
      <c r="B42" s="150" t="s">
        <v>156</v>
      </c>
      <c r="C42" s="151"/>
      <c r="D42" s="151"/>
      <c r="E42" s="151"/>
      <c r="F42" s="151"/>
      <c r="G42" s="151"/>
      <c r="H42" s="151"/>
      <c r="I42" s="151"/>
      <c r="J42" s="151"/>
      <c r="K42" s="152"/>
      <c r="L42" s="151"/>
      <c r="M42" s="151"/>
      <c r="N42" s="151"/>
      <c r="O42" s="151"/>
    </row>
    <row r="43" spans="2:17" x14ac:dyDescent="0.2">
      <c r="K43" s="38"/>
    </row>
    <row r="44" spans="2:17" ht="17" thickBot="1" x14ac:dyDescent="0.25">
      <c r="B44" s="3" t="s">
        <v>58</v>
      </c>
      <c r="F44" s="4">
        <f t="shared" ref="F44:O44" si="14">F$5</f>
        <v>2022</v>
      </c>
      <c r="G44" s="4">
        <f t="shared" si="14"/>
        <v>2023</v>
      </c>
      <c r="H44" s="4">
        <f t="shared" si="14"/>
        <v>2024</v>
      </c>
      <c r="I44" s="4">
        <f t="shared" si="14"/>
        <v>2025</v>
      </c>
      <c r="J44" s="4">
        <f t="shared" si="14"/>
        <v>2026</v>
      </c>
      <c r="K44" s="37">
        <f t="shared" si="14"/>
        <v>2027</v>
      </c>
      <c r="L44" s="16">
        <f t="shared" si="14"/>
        <v>2028</v>
      </c>
      <c r="M44" s="16">
        <f t="shared" si="14"/>
        <v>2029</v>
      </c>
      <c r="N44" s="16">
        <f t="shared" si="14"/>
        <v>2030</v>
      </c>
      <c r="O44" s="16">
        <f t="shared" si="14"/>
        <v>2031</v>
      </c>
    </row>
    <row r="45" spans="2:17" x14ac:dyDescent="0.2">
      <c r="B45" s="3" t="str">
        <f>B$6</f>
        <v>Model Running: Base Case Drivers</v>
      </c>
      <c r="K45" s="38"/>
    </row>
    <row r="46" spans="2:17" x14ac:dyDescent="0.2">
      <c r="K46" s="38"/>
    </row>
    <row r="47" spans="2:17" x14ac:dyDescent="0.2">
      <c r="B47" s="5" t="s">
        <v>157</v>
      </c>
      <c r="K47" s="38"/>
    </row>
    <row r="48" spans="2:17" x14ac:dyDescent="0.2">
      <c r="B48" s="1" t="s">
        <v>147</v>
      </c>
      <c r="D48" s="35"/>
      <c r="F48" s="8"/>
      <c r="G48" s="8"/>
      <c r="H48" s="8"/>
      <c r="I48" s="8"/>
      <c r="J48" s="8"/>
      <c r="K48" s="39">
        <f>K27</f>
        <v>4440.4726608000083</v>
      </c>
      <c r="L48" s="27">
        <f>L27</f>
        <v>6945.6626451235097</v>
      </c>
      <c r="M48" s="27">
        <f>M27</f>
        <v>9567.8033954912644</v>
      </c>
      <c r="N48" s="27">
        <f>N27</f>
        <v>12559.603472653904</v>
      </c>
      <c r="O48" s="27">
        <f>O27</f>
        <v>16754.004420779769</v>
      </c>
      <c r="Q48" s="35" t="s">
        <v>282</v>
      </c>
    </row>
    <row r="49" spans="2:17" x14ac:dyDescent="0.2">
      <c r="B49" s="1" t="s">
        <v>158</v>
      </c>
      <c r="F49" s="8"/>
      <c r="G49" s="8"/>
      <c r="H49" s="8"/>
      <c r="I49" s="8"/>
      <c r="J49" s="8"/>
      <c r="K49" s="39">
        <f>K242</f>
        <v>818.32960000000003</v>
      </c>
      <c r="L49" s="27">
        <f>L242</f>
        <v>825.30764800000009</v>
      </c>
      <c r="M49" s="27">
        <f>M242</f>
        <v>856.93707264000011</v>
      </c>
      <c r="N49" s="27">
        <f>N242</f>
        <v>908.01786859520018</v>
      </c>
      <c r="O49" s="27">
        <f>O242</f>
        <v>975.28287576473622</v>
      </c>
      <c r="Q49" s="35"/>
    </row>
    <row r="50" spans="2:17" x14ac:dyDescent="0.2">
      <c r="B50" s="1" t="s">
        <v>159</v>
      </c>
      <c r="F50" s="8"/>
      <c r="G50" s="8"/>
      <c r="H50" s="8"/>
      <c r="I50" s="8"/>
      <c r="J50" s="8"/>
      <c r="K50" s="39">
        <f>-K26</f>
        <v>5397.5190499999999</v>
      </c>
      <c r="L50" s="27">
        <f>-L26</f>
        <v>6106.907267999999</v>
      </c>
      <c r="M50" s="27">
        <f>-M26</f>
        <v>7073.9183692799998</v>
      </c>
      <c r="N50" s="27">
        <f>-N26</f>
        <v>8117.6645268431994</v>
      </c>
      <c r="O50" s="27">
        <f>-O26</f>
        <v>9534.9044896489431</v>
      </c>
      <c r="Q50" s="35"/>
    </row>
    <row r="51" spans="2:17" x14ac:dyDescent="0.2">
      <c r="B51" s="1" t="s">
        <v>160</v>
      </c>
      <c r="F51" s="8"/>
      <c r="G51" s="8"/>
      <c r="H51" s="8"/>
      <c r="I51" s="8"/>
      <c r="J51" s="8"/>
      <c r="K51" s="39">
        <f>K29</f>
        <v>-1117.6669687233621</v>
      </c>
      <c r="L51" s="27">
        <f>L29</f>
        <v>-1748.2232877775873</v>
      </c>
      <c r="M51" s="27">
        <f>M29</f>
        <v>-2408.2161146451513</v>
      </c>
      <c r="N51" s="27">
        <f>N29</f>
        <v>-3161.2521940669872</v>
      </c>
      <c r="O51" s="27">
        <f>O29</f>
        <v>-4216.9829127102676</v>
      </c>
      <c r="Q51" s="35"/>
    </row>
    <row r="52" spans="2:17" x14ac:dyDescent="0.2">
      <c r="B52" s="1" t="s">
        <v>161</v>
      </c>
      <c r="F52" s="8"/>
      <c r="G52" s="8"/>
      <c r="H52" s="8"/>
      <c r="I52" s="8"/>
      <c r="J52" s="8"/>
      <c r="K52" s="39">
        <f>-(K87-J87)-K50</f>
        <v>-61475.639049999998</v>
      </c>
      <c r="L52" s="27">
        <f>-(L87-K87)-L50</f>
        <v>-73400.651268000001</v>
      </c>
      <c r="M52" s="27">
        <f>-(M87-L87)-M50</f>
        <v>-83788.786529279954</v>
      </c>
      <c r="N52" s="27">
        <f>-(N87-M87)-N50</f>
        <v>-94603.584315643209</v>
      </c>
      <c r="O52" s="27">
        <f>-(O87-N87)-O50</f>
        <v>-105918.65732094488</v>
      </c>
      <c r="Q52" s="35" t="s">
        <v>285</v>
      </c>
    </row>
    <row r="53" spans="2:17" x14ac:dyDescent="0.2">
      <c r="B53" s="1" t="s">
        <v>162</v>
      </c>
      <c r="F53" s="8"/>
      <c r="G53" s="8"/>
      <c r="H53" s="8"/>
      <c r="I53" s="8"/>
      <c r="J53" s="8"/>
      <c r="K53" s="39">
        <f>K93-J93</f>
        <v>64784.401000000013</v>
      </c>
      <c r="L53" s="27">
        <f>L93-K93</f>
        <v>75444.379710000008</v>
      </c>
      <c r="M53" s="27">
        <f>M93-L93</f>
        <v>86940.666142000002</v>
      </c>
      <c r="N53" s="27">
        <f>N93-M93</f>
        <v>99112.359401879949</v>
      </c>
      <c r="O53" s="27">
        <f>O93-N93</f>
        <v>111736.14412569837</v>
      </c>
      <c r="Q53" s="35"/>
    </row>
    <row r="54" spans="2:17" x14ac:dyDescent="0.2">
      <c r="B54" s="1" t="s">
        <v>163</v>
      </c>
      <c r="F54" s="8"/>
      <c r="G54" s="8"/>
      <c r="H54" s="8"/>
      <c r="I54" s="8"/>
      <c r="J54" s="8"/>
      <c r="K54" s="39">
        <f>-(K86-J86)</f>
        <v>-14626.256280000016</v>
      </c>
      <c r="L54" s="27">
        <f>-(L86-K86)</f>
        <v>-21124.426318800004</v>
      </c>
      <c r="M54" s="27">
        <f>-(M86-L86)</f>
        <v>-24343.38651976001</v>
      </c>
      <c r="N54" s="27">
        <f>-(N86-M86)</f>
        <v>-27751.460632526374</v>
      </c>
      <c r="O54" s="27">
        <f>-(O86-N86)</f>
        <v>-31286.12035519554</v>
      </c>
      <c r="Q54" s="35"/>
    </row>
    <row r="55" spans="2:17" x14ac:dyDescent="0.2">
      <c r="B55" s="1" t="s">
        <v>164</v>
      </c>
      <c r="F55" s="8"/>
      <c r="G55" s="8"/>
      <c r="H55" s="8"/>
      <c r="I55" s="8"/>
      <c r="J55" s="8"/>
      <c r="K55" s="39">
        <f>-(K89-J89)</f>
        <v>-2084.5531999999985</v>
      </c>
      <c r="L55" s="27">
        <f>-(L89-K89)</f>
        <v>-4037.6246399999982</v>
      </c>
      <c r="M55" s="27">
        <f>-(M89-L89)</f>
        <v>-4602.8920895999981</v>
      </c>
      <c r="N55" s="27">
        <f>-(N89-M89)</f>
        <v>-5189.1551873280041</v>
      </c>
      <c r="O55" s="27">
        <f>-(O89-N89)</f>
        <v>-5783.0251698777502</v>
      </c>
      <c r="Q55" s="35"/>
    </row>
    <row r="56" spans="2:17" x14ac:dyDescent="0.2">
      <c r="B56" s="1" t="s">
        <v>165</v>
      </c>
      <c r="F56" s="8"/>
      <c r="G56" s="8"/>
      <c r="H56" s="8"/>
      <c r="I56" s="8"/>
      <c r="J56" s="8"/>
      <c r="K56" s="39">
        <f>K95-J95</f>
        <v>3815.1065700000036</v>
      </c>
      <c r="L56" s="27">
        <f>L95-K95</f>
        <v>5281.106579700001</v>
      </c>
      <c r="M56" s="27">
        <f>M95-L95</f>
        <v>6085.8466299400025</v>
      </c>
      <c r="N56" s="27">
        <f>N95-M95</f>
        <v>6937.8651581315935</v>
      </c>
      <c r="O56" s="27">
        <f>O95-N95</f>
        <v>7821.5300887988851</v>
      </c>
      <c r="Q56" s="35"/>
    </row>
    <row r="57" spans="2:17" x14ac:dyDescent="0.2">
      <c r="B57" s="5" t="s">
        <v>35</v>
      </c>
      <c r="C57" s="5"/>
      <c r="D57" s="5"/>
      <c r="E57" s="5"/>
      <c r="F57" s="34">
        <f>Historicals!F41</f>
        <v>2603.92</v>
      </c>
      <c r="G57" s="34">
        <f>Historicals!G41</f>
        <v>3599.65</v>
      </c>
      <c r="H57" s="34">
        <f>Historicals!H41</f>
        <v>11327.96</v>
      </c>
      <c r="I57" s="34">
        <f>Historicals!I41</f>
        <v>14394.54</v>
      </c>
      <c r="J57" s="34">
        <f>Historicals!J41</f>
        <v>6915.04</v>
      </c>
      <c r="K57" s="40">
        <f>SUM(K48:K56)</f>
        <v>-48.286617923349695</v>
      </c>
      <c r="L57" s="29">
        <f>SUM(L48:L56)</f>
        <v>-5707.5616637540734</v>
      </c>
      <c r="M57" s="29">
        <f>SUM(M48:M56)</f>
        <v>-4618.1096439338507</v>
      </c>
      <c r="N57" s="29">
        <f>SUM(N48:N56)</f>
        <v>-3069.9419014607338</v>
      </c>
      <c r="O57" s="29">
        <f>SUM(O48:O56)</f>
        <v>-382.91975803774403</v>
      </c>
      <c r="Q57" s="35"/>
    </row>
    <row r="58" spans="2:17" x14ac:dyDescent="0.2">
      <c r="K58" s="38"/>
      <c r="Q58" s="35"/>
    </row>
    <row r="59" spans="2:17" x14ac:dyDescent="0.2">
      <c r="B59" s="5" t="s">
        <v>166</v>
      </c>
      <c r="K59" s="38"/>
      <c r="Q59" s="35"/>
    </row>
    <row r="60" spans="2:17" x14ac:dyDescent="0.2">
      <c r="B60" s="1" t="s">
        <v>167</v>
      </c>
      <c r="F60" s="8"/>
      <c r="G60" s="8"/>
      <c r="H60" s="8"/>
      <c r="I60" s="8"/>
      <c r="J60" s="8"/>
      <c r="K60" s="39">
        <f>-K241</f>
        <v>-840.13600000000008</v>
      </c>
      <c r="L60" s="27">
        <f>-L241</f>
        <v>-924.14960000000019</v>
      </c>
      <c r="M60" s="27">
        <f>-M241</f>
        <v>-1016.5645600000003</v>
      </c>
      <c r="N60" s="27">
        <f>-N241</f>
        <v>-1118.2210160000004</v>
      </c>
      <c r="O60" s="27">
        <f>-O241</f>
        <v>-1230.0431176000006</v>
      </c>
      <c r="Q60" s="35"/>
    </row>
    <row r="61" spans="2:17" x14ac:dyDescent="0.2">
      <c r="B61" s="5" t="s">
        <v>36</v>
      </c>
      <c r="C61" s="5"/>
      <c r="D61" s="5"/>
      <c r="E61" s="5"/>
      <c r="F61" s="34">
        <f>Historicals!F42</f>
        <v>-2884.46</v>
      </c>
      <c r="G61" s="34">
        <f>Historicals!G42</f>
        <v>-11968.64</v>
      </c>
      <c r="H61" s="34">
        <f>Historicals!H42</f>
        <v>-9791.7900000000009</v>
      </c>
      <c r="I61" s="34">
        <f>Historicals!I42</f>
        <v>-3399.22</v>
      </c>
      <c r="J61" s="34">
        <f>Historicals!J42</f>
        <v>-14241.28</v>
      </c>
      <c r="K61" s="40">
        <f>SUM(K60:K60)</f>
        <v>-840.13600000000008</v>
      </c>
      <c r="L61" s="29">
        <f>SUM(L60:L60)</f>
        <v>-924.14960000000019</v>
      </c>
      <c r="M61" s="29">
        <f>SUM(M60:M60)</f>
        <v>-1016.5645600000003</v>
      </c>
      <c r="N61" s="29">
        <f>SUM(N60:N60)</f>
        <v>-1118.2210160000004</v>
      </c>
      <c r="O61" s="29">
        <f>SUM(O60:O60)</f>
        <v>-1230.0431176000006</v>
      </c>
      <c r="Q61" s="35"/>
    </row>
    <row r="62" spans="2:17" x14ac:dyDescent="0.2">
      <c r="K62" s="38"/>
      <c r="Q62" s="35"/>
    </row>
    <row r="63" spans="2:17" x14ac:dyDescent="0.2">
      <c r="B63" s="5" t="s">
        <v>168</v>
      </c>
      <c r="K63" s="38"/>
      <c r="Q63" s="35"/>
    </row>
    <row r="64" spans="2:17" x14ac:dyDescent="0.2">
      <c r="B64" s="1" t="s">
        <v>169</v>
      </c>
      <c r="F64" s="8"/>
      <c r="G64" s="8"/>
      <c r="H64" s="8"/>
      <c r="I64" s="8"/>
      <c r="J64" s="8"/>
      <c r="K64" s="39">
        <f>K147-J147</f>
        <v>4394.4816000000064</v>
      </c>
      <c r="L64" s="27">
        <f>L147-K147</f>
        <v>4921.8193920000049</v>
      </c>
      <c r="M64" s="27">
        <f>M147-L147</f>
        <v>5512.4377190400046</v>
      </c>
      <c r="N64" s="27">
        <f>N147-M147</f>
        <v>6173.9302453248092</v>
      </c>
      <c r="O64" s="27">
        <f>O147-N147</f>
        <v>6914.8018747637834</v>
      </c>
      <c r="Q64" s="35"/>
    </row>
    <row r="65" spans="2:17" x14ac:dyDescent="0.2">
      <c r="B65" s="1" t="s">
        <v>170</v>
      </c>
      <c r="F65" s="8"/>
      <c r="G65" s="8"/>
      <c r="H65" s="8"/>
      <c r="I65" s="8"/>
      <c r="J65" s="8"/>
      <c r="K65" s="39">
        <f>K179</f>
        <v>113.24631292334379</v>
      </c>
      <c r="L65" s="27">
        <f>L179</f>
        <v>-113.24631292334379</v>
      </c>
      <c r="M65" s="27">
        <f>M179</f>
        <v>3030.7384903246457</v>
      </c>
      <c r="N65" s="27">
        <f>N179</f>
        <v>-3030.7384903246457</v>
      </c>
      <c r="O65" s="27">
        <f>O179</f>
        <v>0</v>
      </c>
      <c r="Q65" s="35"/>
    </row>
    <row r="66" spans="2:17" x14ac:dyDescent="0.2">
      <c r="B66" s="1" t="s">
        <v>171</v>
      </c>
      <c r="F66" s="8"/>
      <c r="G66" s="8"/>
      <c r="H66" s="8"/>
      <c r="I66" s="8"/>
      <c r="J66" s="8"/>
      <c r="K66" s="39">
        <f>K274</f>
        <v>0</v>
      </c>
      <c r="L66" s="27">
        <f>L274</f>
        <v>7500</v>
      </c>
      <c r="M66" s="27">
        <f>M274</f>
        <v>0</v>
      </c>
      <c r="N66" s="27">
        <f>N274</f>
        <v>10000</v>
      </c>
      <c r="O66" s="27">
        <f>O274</f>
        <v>0</v>
      </c>
      <c r="Q66" s="35"/>
    </row>
    <row r="67" spans="2:17" x14ac:dyDescent="0.2">
      <c r="B67" s="1" t="s">
        <v>172</v>
      </c>
      <c r="F67" s="8"/>
      <c r="G67" s="8"/>
      <c r="H67" s="8"/>
      <c r="I67" s="8"/>
      <c r="J67" s="8"/>
      <c r="K67" s="39">
        <f>-K280</f>
        <v>-215.04250000000002</v>
      </c>
      <c r="L67" s="27">
        <f>-L280</f>
        <v>-498.4208538114969</v>
      </c>
      <c r="M67" s="27">
        <f>-M280</f>
        <v>-779.61590360188825</v>
      </c>
      <c r="N67" s="27">
        <f>-N280</f>
        <v>-1073.9380921269169</v>
      </c>
      <c r="O67" s="27">
        <f>-O280</f>
        <v>-1409.7526917880375</v>
      </c>
      <c r="Q67" s="35"/>
    </row>
    <row r="68" spans="2:17" x14ac:dyDescent="0.2">
      <c r="B68" s="5" t="s">
        <v>37</v>
      </c>
      <c r="C68" s="5"/>
      <c r="D68" s="5"/>
      <c r="E68" s="5"/>
      <c r="F68" s="34">
        <f>Historicals!F43</f>
        <v>10210.59</v>
      </c>
      <c r="G68" s="34">
        <f>Historicals!G43</f>
        <v>6509.04</v>
      </c>
      <c r="H68" s="34">
        <f>Historicals!H43</f>
        <v>-2953.92</v>
      </c>
      <c r="I68" s="34">
        <f>Historicals!I43</f>
        <v>-8682.0499999999993</v>
      </c>
      <c r="J68" s="34">
        <f>Historicals!J43</f>
        <v>4969.12</v>
      </c>
      <c r="K68" s="40">
        <f>SUM(K64:K67)</f>
        <v>4292.6854129233507</v>
      </c>
      <c r="L68" s="29">
        <f>SUM(L64:L67)</f>
        <v>11810.152225265165</v>
      </c>
      <c r="M68" s="29">
        <f>SUM(M64:M67)</f>
        <v>7763.5603057627623</v>
      </c>
      <c r="N68" s="29">
        <f>SUM(N64:N67)</f>
        <v>12069.253662873247</v>
      </c>
      <c r="O68" s="29">
        <f>SUM(O64:O67)</f>
        <v>5505.0491829757457</v>
      </c>
      <c r="Q68" s="35"/>
    </row>
    <row r="69" spans="2:17" x14ac:dyDescent="0.2">
      <c r="K69" s="38"/>
      <c r="Q69" s="35"/>
    </row>
    <row r="70" spans="2:17" x14ac:dyDescent="0.2">
      <c r="B70" s="1" t="s">
        <v>173</v>
      </c>
      <c r="F70" s="26">
        <f>Historicals!F44+Historicals!F45</f>
        <v>0</v>
      </c>
      <c r="G70" s="26">
        <f>Historicals!G44+Historicals!G45</f>
        <v>0</v>
      </c>
      <c r="H70" s="26">
        <f>Historicals!H44+Historicals!H45</f>
        <v>0</v>
      </c>
      <c r="I70" s="26">
        <f>Historicals!I44+Historicals!I45</f>
        <v>303.88</v>
      </c>
      <c r="J70" s="26">
        <f>Historicals!J44+Historicals!J45</f>
        <v>22.15</v>
      </c>
      <c r="K70" s="44"/>
      <c r="L70" s="8"/>
      <c r="M70" s="8"/>
      <c r="N70" s="8"/>
      <c r="O70" s="8"/>
      <c r="Q70" s="35"/>
    </row>
    <row r="71" spans="2:17" x14ac:dyDescent="0.2">
      <c r="K71" s="38"/>
      <c r="Q71" s="35"/>
    </row>
    <row r="72" spans="2:17" x14ac:dyDescent="0.2">
      <c r="B72" s="5" t="s">
        <v>174</v>
      </c>
      <c r="K72" s="38"/>
      <c r="Q72" s="35"/>
    </row>
    <row r="73" spans="2:17" x14ac:dyDescent="0.2">
      <c r="B73" s="1" t="s">
        <v>175</v>
      </c>
      <c r="F73" s="26">
        <f>Historicals!F47</f>
        <v>5827.86</v>
      </c>
      <c r="G73" s="27">
        <f t="shared" ref="G73:O73" si="15">F75</f>
        <v>15757.91</v>
      </c>
      <c r="H73" s="27">
        <f t="shared" si="15"/>
        <v>13897.96</v>
      </c>
      <c r="I73" s="27">
        <f t="shared" si="15"/>
        <v>12480.209999999997</v>
      </c>
      <c r="J73" s="27">
        <f t="shared" si="15"/>
        <v>15097.36</v>
      </c>
      <c r="K73" s="39">
        <f t="shared" si="15"/>
        <v>12762.39</v>
      </c>
      <c r="L73" s="27">
        <f t="shared" si="15"/>
        <v>16166.652795</v>
      </c>
      <c r="M73" s="27">
        <f t="shared" si="15"/>
        <v>21345.093756511091</v>
      </c>
      <c r="N73" s="27">
        <f t="shared" si="15"/>
        <v>23473.979858340001</v>
      </c>
      <c r="O73" s="27">
        <f t="shared" si="15"/>
        <v>31355.070603752512</v>
      </c>
      <c r="Q73" s="35"/>
    </row>
    <row r="74" spans="2:17" x14ac:dyDescent="0.2">
      <c r="B74" s="1" t="s">
        <v>176</v>
      </c>
      <c r="F74" s="27">
        <f t="shared" ref="F74:O74" si="16">F57+F61+F68+F70</f>
        <v>9930.0499999999993</v>
      </c>
      <c r="G74" s="27">
        <f t="shared" si="16"/>
        <v>-1859.9499999999998</v>
      </c>
      <c r="H74" s="27">
        <f t="shared" si="16"/>
        <v>-1417.7500000000018</v>
      </c>
      <c r="I74" s="27">
        <f t="shared" si="16"/>
        <v>2617.1500000000024</v>
      </c>
      <c r="J74" s="27">
        <f t="shared" si="16"/>
        <v>-2334.9700000000007</v>
      </c>
      <c r="K74" s="39">
        <f t="shared" si="16"/>
        <v>3404.262795000001</v>
      </c>
      <c r="L74" s="27">
        <f t="shared" si="16"/>
        <v>5178.4409615110908</v>
      </c>
      <c r="M74" s="27">
        <f t="shared" si="16"/>
        <v>2128.8861018289108</v>
      </c>
      <c r="N74" s="27">
        <f t="shared" si="16"/>
        <v>7881.0907454125127</v>
      </c>
      <c r="O74" s="27">
        <f t="shared" si="16"/>
        <v>3892.086307338001</v>
      </c>
      <c r="Q74" s="35"/>
    </row>
    <row r="75" spans="2:17" ht="17" thickBot="1" x14ac:dyDescent="0.25">
      <c r="B75" s="5" t="s">
        <v>177</v>
      </c>
      <c r="C75" s="5"/>
      <c r="D75" s="5"/>
      <c r="E75" s="5"/>
      <c r="F75" s="30">
        <f t="shared" ref="F75:O75" si="17">F73+F74</f>
        <v>15757.91</v>
      </c>
      <c r="G75" s="30">
        <f t="shared" si="17"/>
        <v>13897.96</v>
      </c>
      <c r="H75" s="30">
        <f t="shared" si="17"/>
        <v>12480.209999999997</v>
      </c>
      <c r="I75" s="30">
        <f t="shared" si="17"/>
        <v>15097.36</v>
      </c>
      <c r="J75" s="30">
        <f t="shared" si="17"/>
        <v>12762.39</v>
      </c>
      <c r="K75" s="41">
        <f t="shared" si="17"/>
        <v>16166.652795</v>
      </c>
      <c r="L75" s="30">
        <f t="shared" si="17"/>
        <v>21345.093756511091</v>
      </c>
      <c r="M75" s="30">
        <f t="shared" si="17"/>
        <v>23473.979858340001</v>
      </c>
      <c r="N75" s="30">
        <f t="shared" si="17"/>
        <v>31355.070603752512</v>
      </c>
      <c r="O75" s="30">
        <f t="shared" si="17"/>
        <v>35247.156911090511</v>
      </c>
      <c r="Q75" s="35"/>
    </row>
    <row r="76" spans="2:17" x14ac:dyDescent="0.2">
      <c r="K76" s="38"/>
      <c r="Q76" s="35"/>
    </row>
    <row r="77" spans="2:17" x14ac:dyDescent="0.2">
      <c r="K77" s="38"/>
      <c r="Q77" s="35"/>
    </row>
    <row r="78" spans="2:17" ht="20" x14ac:dyDescent="0.25">
      <c r="B78" s="150" t="s">
        <v>178</v>
      </c>
      <c r="C78" s="151"/>
      <c r="D78" s="151"/>
      <c r="E78" s="151"/>
      <c r="F78" s="151"/>
      <c r="G78" s="151"/>
      <c r="H78" s="151"/>
      <c r="I78" s="151"/>
      <c r="J78" s="151"/>
      <c r="K78" s="152"/>
      <c r="L78" s="151"/>
      <c r="M78" s="151"/>
      <c r="N78" s="151"/>
      <c r="O78" s="151"/>
      <c r="Q78" s="35"/>
    </row>
    <row r="79" spans="2:17" x14ac:dyDescent="0.2">
      <c r="K79" s="38"/>
      <c r="Q79" s="35"/>
    </row>
    <row r="80" spans="2:17" ht="17" thickBot="1" x14ac:dyDescent="0.25">
      <c r="B80" s="3" t="s">
        <v>58</v>
      </c>
      <c r="F80" s="4">
        <f t="shared" ref="F80:O80" si="18">F$5</f>
        <v>2022</v>
      </c>
      <c r="G80" s="4">
        <f t="shared" si="18"/>
        <v>2023</v>
      </c>
      <c r="H80" s="4">
        <f t="shared" si="18"/>
        <v>2024</v>
      </c>
      <c r="I80" s="4">
        <f t="shared" si="18"/>
        <v>2025</v>
      </c>
      <c r="J80" s="4">
        <f t="shared" si="18"/>
        <v>2026</v>
      </c>
      <c r="K80" s="37">
        <f t="shared" si="18"/>
        <v>2027</v>
      </c>
      <c r="L80" s="16">
        <f t="shared" si="18"/>
        <v>2028</v>
      </c>
      <c r="M80" s="16">
        <f t="shared" si="18"/>
        <v>2029</v>
      </c>
      <c r="N80" s="16">
        <f t="shared" si="18"/>
        <v>2030</v>
      </c>
      <c r="O80" s="16">
        <f t="shared" si="18"/>
        <v>2031</v>
      </c>
      <c r="Q80" s="35"/>
    </row>
    <row r="81" spans="2:17" x14ac:dyDescent="0.2">
      <c r="B81" s="3" t="str">
        <f>B$6</f>
        <v>Model Running: Base Case Drivers</v>
      </c>
      <c r="K81" s="38"/>
      <c r="Q81" s="35"/>
    </row>
    <row r="82" spans="2:17" x14ac:dyDescent="0.2">
      <c r="K82" s="38"/>
      <c r="Q82" s="35"/>
    </row>
    <row r="83" spans="2:17" x14ac:dyDescent="0.2">
      <c r="B83" s="5" t="s">
        <v>179</v>
      </c>
      <c r="K83" s="38"/>
      <c r="Q83" s="35"/>
    </row>
    <row r="84" spans="2:17" x14ac:dyDescent="0.2">
      <c r="B84" s="1" t="s">
        <v>28</v>
      </c>
      <c r="F84" s="26">
        <f>Historicals!F31</f>
        <v>11389.92</v>
      </c>
      <c r="G84" s="26">
        <f>Historicals!G31</f>
        <v>10739.74</v>
      </c>
      <c r="H84" s="26">
        <f>Historicals!H31</f>
        <v>11075.02</v>
      </c>
      <c r="I84" s="26">
        <f>Historicals!I31</f>
        <v>14023.5</v>
      </c>
      <c r="J84" s="26">
        <f>Historicals!J31</f>
        <v>11337.13</v>
      </c>
      <c r="K84" s="39">
        <f>K163</f>
        <v>13651.840138</v>
      </c>
      <c r="L84" s="27">
        <f>L163</f>
        <v>16518.72656698</v>
      </c>
      <c r="M84" s="27">
        <f>M163</f>
        <v>19822.471880376001</v>
      </c>
      <c r="N84" s="27">
        <f>N163</f>
        <v>23588.741537647438</v>
      </c>
      <c r="O84" s="27">
        <f>O163</f>
        <v>27834.715014423975</v>
      </c>
      <c r="Q84" s="35"/>
    </row>
    <row r="85" spans="2:17" x14ac:dyDescent="0.2">
      <c r="B85" s="1" t="s">
        <v>180</v>
      </c>
      <c r="F85" s="26">
        <f>Historicals!F32</f>
        <v>4367.99</v>
      </c>
      <c r="G85" s="26">
        <f>Historicals!G32</f>
        <v>3158.22</v>
      </c>
      <c r="H85" s="26">
        <f>Historicals!H32</f>
        <v>1405.19</v>
      </c>
      <c r="I85" s="26">
        <f>Historicals!I32</f>
        <v>1073.8599999999999</v>
      </c>
      <c r="J85" s="26">
        <f>Historicals!J32</f>
        <v>1425.26</v>
      </c>
      <c r="K85" s="39">
        <f>K75-K84</f>
        <v>2514.8126570000004</v>
      </c>
      <c r="L85" s="27">
        <f>L75-L84</f>
        <v>4826.3671895310908</v>
      </c>
      <c r="M85" s="27">
        <f>M75-M84</f>
        <v>3651.507977964</v>
      </c>
      <c r="N85" s="27">
        <f>N75-N84</f>
        <v>7766.3290661050742</v>
      </c>
      <c r="O85" s="27">
        <f>O75-O84</f>
        <v>7412.4418966665362</v>
      </c>
      <c r="Q85" s="35" t="s">
        <v>286</v>
      </c>
    </row>
    <row r="86" spans="2:17" x14ac:dyDescent="0.2">
      <c r="B86" s="1" t="s">
        <v>30</v>
      </c>
      <c r="F86" s="26">
        <f>Historicals!F33</f>
        <v>46144.84</v>
      </c>
      <c r="G86" s="26">
        <f>Historicals!G33</f>
        <v>61123.55</v>
      </c>
      <c r="H86" s="26">
        <f>Historicals!H33</f>
        <v>74710.39</v>
      </c>
      <c r="I86" s="26">
        <f>Historicals!I33</f>
        <v>80715.520000000004</v>
      </c>
      <c r="J86" s="26">
        <f>Historicals!J33</f>
        <v>85966.25</v>
      </c>
      <c r="K86" s="39">
        <f>K158</f>
        <v>100592.50628000002</v>
      </c>
      <c r="L86" s="27">
        <f>L158</f>
        <v>121716.93259880002</v>
      </c>
      <c r="M86" s="27">
        <f>M158</f>
        <v>146060.31911856003</v>
      </c>
      <c r="N86" s="27">
        <f>N158</f>
        <v>173811.7797510864</v>
      </c>
      <c r="O86" s="27">
        <f>O158</f>
        <v>205097.90010628194</v>
      </c>
      <c r="Q86" s="35"/>
    </row>
    <row r="87" spans="2:17" x14ac:dyDescent="0.2">
      <c r="B87" s="1" t="s">
        <v>31</v>
      </c>
      <c r="F87" s="26">
        <f>Historicals!F34</f>
        <v>117857.8</v>
      </c>
      <c r="G87" s="26">
        <f>Historicals!G34</f>
        <v>151794.53</v>
      </c>
      <c r="H87" s="26">
        <f>Historicals!H34</f>
        <v>194592.37</v>
      </c>
      <c r="I87" s="26">
        <f>Historicals!I34</f>
        <v>233112.53</v>
      </c>
      <c r="J87" s="26">
        <f>Historicals!J34</f>
        <v>280390.59999999998</v>
      </c>
      <c r="K87" s="39">
        <f>K115</f>
        <v>336468.72</v>
      </c>
      <c r="L87" s="27">
        <f>L115</f>
        <v>403762.46399999998</v>
      </c>
      <c r="M87" s="27">
        <f>M115</f>
        <v>480477.33215999993</v>
      </c>
      <c r="N87" s="27">
        <f>N115</f>
        <v>566963.25194879994</v>
      </c>
      <c r="O87" s="27">
        <f>O115</f>
        <v>663347.00478009589</v>
      </c>
      <c r="Q87" s="35"/>
    </row>
    <row r="88" spans="2:17" x14ac:dyDescent="0.2">
      <c r="B88" s="1" t="s">
        <v>32</v>
      </c>
      <c r="F88" s="26">
        <f>Historicals!F35</f>
        <v>1361.22</v>
      </c>
      <c r="G88" s="26">
        <f>Historicals!G35</f>
        <v>2090.13</v>
      </c>
      <c r="H88" s="26">
        <f>Historicals!H35</f>
        <v>2619.4299999999998</v>
      </c>
      <c r="I88" s="26">
        <f>Historicals!I35</f>
        <v>2662.65</v>
      </c>
      <c r="J88" s="26">
        <f>Historicals!J35</f>
        <v>2557.2800000000002</v>
      </c>
      <c r="K88" s="39">
        <f>K243</f>
        <v>2579.0864000000001</v>
      </c>
      <c r="L88" s="27">
        <f>L243</f>
        <v>2677.9283520000004</v>
      </c>
      <c r="M88" s="27">
        <f>M243</f>
        <v>2837.5558393600004</v>
      </c>
      <c r="N88" s="27">
        <f>N243</f>
        <v>3047.7589867648007</v>
      </c>
      <c r="O88" s="27">
        <f>O243</f>
        <v>3302.5192286000652</v>
      </c>
      <c r="Q88" s="35"/>
    </row>
    <row r="89" spans="2:17" x14ac:dyDescent="0.2">
      <c r="B89" s="1" t="s">
        <v>33</v>
      </c>
      <c r="F89" s="26">
        <f>Historicals!F36</f>
        <v>9059.84</v>
      </c>
      <c r="G89" s="26">
        <f>Historicals!G36</f>
        <v>11035.49</v>
      </c>
      <c r="H89" s="26">
        <f>Historicals!H36</f>
        <v>11712.7</v>
      </c>
      <c r="I89" s="26">
        <f>Historicals!I36</f>
        <v>12230.59</v>
      </c>
      <c r="J89" s="26">
        <f>Historicals!J36</f>
        <v>18103.57</v>
      </c>
      <c r="K89" s="39">
        <f>K252</f>
        <v>20188.123199999998</v>
      </c>
      <c r="L89" s="27">
        <f>L252</f>
        <v>24225.747839999996</v>
      </c>
      <c r="M89" s="27">
        <f>M252</f>
        <v>28828.639929599995</v>
      </c>
      <c r="N89" s="27">
        <f>N252</f>
        <v>34017.795116927999</v>
      </c>
      <c r="O89" s="27">
        <f>O252</f>
        <v>39800.820286805749</v>
      </c>
      <c r="Q89" s="35"/>
    </row>
    <row r="90" spans="2:17" ht="17" thickBot="1" x14ac:dyDescent="0.25">
      <c r="B90" s="5" t="s">
        <v>34</v>
      </c>
      <c r="C90" s="5"/>
      <c r="D90" s="5"/>
      <c r="E90" s="5"/>
      <c r="F90" s="30">
        <f t="shared" ref="F90:O90" si="19">SUM(F84:F89)</f>
        <v>190181.61</v>
      </c>
      <c r="G90" s="30">
        <f t="shared" si="19"/>
        <v>239941.66</v>
      </c>
      <c r="H90" s="30">
        <f t="shared" si="19"/>
        <v>296115.09999999998</v>
      </c>
      <c r="I90" s="30">
        <f t="shared" si="19"/>
        <v>343818.65000000008</v>
      </c>
      <c r="J90" s="30">
        <f t="shared" si="19"/>
        <v>399780.09</v>
      </c>
      <c r="K90" s="41">
        <f t="shared" si="19"/>
        <v>475995.08867499995</v>
      </c>
      <c r="L90" s="30">
        <f t="shared" si="19"/>
        <v>573728.166547311</v>
      </c>
      <c r="M90" s="30">
        <f t="shared" si="19"/>
        <v>681677.82690585987</v>
      </c>
      <c r="N90" s="30">
        <f t="shared" si="19"/>
        <v>809195.65640733158</v>
      </c>
      <c r="O90" s="30">
        <f t="shared" si="19"/>
        <v>946795.40131287416</v>
      </c>
      <c r="Q90" s="35"/>
    </row>
    <row r="91" spans="2:17" x14ac:dyDescent="0.2">
      <c r="K91" s="38"/>
      <c r="Q91" s="35"/>
    </row>
    <row r="92" spans="2:17" x14ac:dyDescent="0.2">
      <c r="B92" s="5" t="s">
        <v>181</v>
      </c>
      <c r="K92" s="38"/>
      <c r="Q92" s="35"/>
    </row>
    <row r="93" spans="2:17" x14ac:dyDescent="0.2">
      <c r="B93" s="1" t="s">
        <v>24</v>
      </c>
      <c r="F93" s="26">
        <f>Historicals!F27</f>
        <v>105634.36</v>
      </c>
      <c r="G93" s="26">
        <f>Historicals!G27</f>
        <v>144637.31</v>
      </c>
      <c r="H93" s="26">
        <f>Historicals!H27</f>
        <v>200576.31</v>
      </c>
      <c r="I93" s="26">
        <f>Historicals!I27</f>
        <v>252065.25</v>
      </c>
      <c r="J93" s="26">
        <f>Historicals!J27</f>
        <v>294474.55</v>
      </c>
      <c r="K93" s="39">
        <f>K138</f>
        <v>359258.951</v>
      </c>
      <c r="L93" s="27">
        <f>L138</f>
        <v>434703.33071000001</v>
      </c>
      <c r="M93" s="27">
        <f>M138</f>
        <v>521643.99685200001</v>
      </c>
      <c r="N93" s="27">
        <f>N138</f>
        <v>620756.35625387996</v>
      </c>
      <c r="O93" s="27">
        <f>O138</f>
        <v>732492.50037957833</v>
      </c>
      <c r="Q93" s="35"/>
    </row>
    <row r="94" spans="2:17" x14ac:dyDescent="0.2">
      <c r="B94" s="1" t="s">
        <v>182</v>
      </c>
      <c r="F94" s="26">
        <f>Historicals!F28</f>
        <v>52962.6</v>
      </c>
      <c r="G94" s="26">
        <f>Historicals!G28</f>
        <v>57212.09</v>
      </c>
      <c r="H94" s="26">
        <f>Historicals!H28</f>
        <v>50935.57</v>
      </c>
      <c r="I94" s="26">
        <f>Historicals!I28</f>
        <v>38974.839999999997</v>
      </c>
      <c r="J94" s="26">
        <f>Historicals!J28</f>
        <v>36620.68</v>
      </c>
      <c r="K94" s="39">
        <f>K147+K180</f>
        <v>41128.407912923351</v>
      </c>
      <c r="L94" s="27">
        <f>L147+L180</f>
        <v>45936.980992000012</v>
      </c>
      <c r="M94" s="27">
        <f>M147+M180</f>
        <v>54480.157201364666</v>
      </c>
      <c r="N94" s="27">
        <f>N147+N180</f>
        <v>57623.348956364825</v>
      </c>
      <c r="O94" s="27">
        <f>O147+O180</f>
        <v>64538.150831128609</v>
      </c>
      <c r="Q94" s="35"/>
    </row>
    <row r="95" spans="2:17" x14ac:dyDescent="0.2">
      <c r="B95" s="1" t="s">
        <v>26</v>
      </c>
      <c r="F95" s="26">
        <f>Historicals!F29</f>
        <v>10581.17</v>
      </c>
      <c r="G95" s="26">
        <f>Historicals!G29</f>
        <v>12371.09</v>
      </c>
      <c r="H95" s="26">
        <f>Historicals!H29</f>
        <v>12441.91</v>
      </c>
      <c r="I95" s="26">
        <f>Historicals!I29</f>
        <v>14700.56</v>
      </c>
      <c r="J95" s="26">
        <f>Historicals!J29</f>
        <v>21333.02</v>
      </c>
      <c r="K95" s="39">
        <f>K254</f>
        <v>25148.126570000004</v>
      </c>
      <c r="L95" s="27">
        <f>L254</f>
        <v>30429.233149700005</v>
      </c>
      <c r="M95" s="27">
        <f>M254</f>
        <v>36515.079779640007</v>
      </c>
      <c r="N95" s="27">
        <f>N254</f>
        <v>43452.944937771601</v>
      </c>
      <c r="O95" s="27">
        <f>O254</f>
        <v>51274.475026570486</v>
      </c>
      <c r="Q95" s="35"/>
    </row>
    <row r="96" spans="2:17" x14ac:dyDescent="0.2">
      <c r="B96" s="5" t="s">
        <v>183</v>
      </c>
      <c r="C96" s="5"/>
      <c r="D96" s="5"/>
      <c r="E96" s="5"/>
      <c r="F96" s="29">
        <f t="shared" ref="F96:O96" si="20">SUM(F93:F95)</f>
        <v>169178.13</v>
      </c>
      <c r="G96" s="29">
        <f t="shared" si="20"/>
        <v>214220.49</v>
      </c>
      <c r="H96" s="29">
        <f t="shared" si="20"/>
        <v>263953.78999999998</v>
      </c>
      <c r="I96" s="29">
        <f t="shared" si="20"/>
        <v>305740.64999999997</v>
      </c>
      <c r="J96" s="29">
        <f t="shared" si="20"/>
        <v>352428.25</v>
      </c>
      <c r="K96" s="40">
        <f t="shared" si="20"/>
        <v>425535.4854829234</v>
      </c>
      <c r="L96" s="29">
        <f t="shared" si="20"/>
        <v>511069.54485170002</v>
      </c>
      <c r="M96" s="29">
        <f t="shared" si="20"/>
        <v>612639.2338330046</v>
      </c>
      <c r="N96" s="29">
        <f t="shared" si="20"/>
        <v>721832.6501480164</v>
      </c>
      <c r="O96" s="29">
        <f t="shared" si="20"/>
        <v>848305.12623727741</v>
      </c>
      <c r="Q96" s="35"/>
    </row>
    <row r="97" spans="2:17" x14ac:dyDescent="0.2">
      <c r="K97" s="38"/>
      <c r="Q97" s="35"/>
    </row>
    <row r="98" spans="2:17" x14ac:dyDescent="0.2">
      <c r="B98" s="5" t="s">
        <v>184</v>
      </c>
      <c r="K98" s="38"/>
      <c r="Q98" s="35"/>
    </row>
    <row r="99" spans="2:17" x14ac:dyDescent="0.2">
      <c r="B99" s="1" t="s">
        <v>185</v>
      </c>
      <c r="F99" s="26">
        <f>Historicals!F24+Historicals!F25</f>
        <v>6233.83</v>
      </c>
      <c r="G99" s="26">
        <f>Historicals!G24+Historicals!G25</f>
        <v>6655.24</v>
      </c>
      <c r="H99" s="26">
        <f>Historicals!H24+Historicals!H25</f>
        <v>7128.85</v>
      </c>
      <c r="I99" s="26">
        <f>Historicals!I24+Historicals!I25</f>
        <v>7470.83</v>
      </c>
      <c r="J99" s="26">
        <f>Historicals!J24+Historicals!J25</f>
        <v>8889.5700000000015</v>
      </c>
      <c r="K99" s="39">
        <f>K275</f>
        <v>8889.5700000000015</v>
      </c>
      <c r="L99" s="27">
        <f>L275</f>
        <v>16389.57</v>
      </c>
      <c r="M99" s="27">
        <f>M275</f>
        <v>16389.57</v>
      </c>
      <c r="N99" s="27">
        <f>N275</f>
        <v>26389.57</v>
      </c>
      <c r="O99" s="27">
        <f>O275</f>
        <v>26389.57</v>
      </c>
      <c r="Q99" s="35"/>
    </row>
    <row r="100" spans="2:17" x14ac:dyDescent="0.2">
      <c r="B100" s="1" t="s">
        <v>23</v>
      </c>
      <c r="F100" s="26">
        <f>Historicals!F26</f>
        <v>14769.65</v>
      </c>
      <c r="G100" s="26">
        <f>Historicals!G26</f>
        <v>19065.93</v>
      </c>
      <c r="H100" s="26">
        <f>Historicals!H26</f>
        <v>25032.46</v>
      </c>
      <c r="I100" s="26">
        <f>Historicals!I26</f>
        <v>30607.17</v>
      </c>
      <c r="J100" s="26">
        <f>Historicals!J26</f>
        <v>38462.269999999997</v>
      </c>
      <c r="K100" s="39">
        <f>K286</f>
        <v>41570.03319207664</v>
      </c>
      <c r="L100" s="27">
        <f>L286</f>
        <v>46269.051695611066</v>
      </c>
      <c r="M100" s="27">
        <f>M286</f>
        <v>52649.023072855292</v>
      </c>
      <c r="N100" s="27">
        <f>N286</f>
        <v>60973.436259315291</v>
      </c>
      <c r="O100" s="27">
        <f>O286</f>
        <v>72100.705075596765</v>
      </c>
      <c r="Q100" s="35"/>
    </row>
    <row r="101" spans="2:17" x14ac:dyDescent="0.2">
      <c r="B101" s="5" t="s">
        <v>186</v>
      </c>
      <c r="C101" s="5"/>
      <c r="D101" s="5"/>
      <c r="E101" s="5"/>
      <c r="F101" s="29">
        <f t="shared" ref="F101:O101" si="21">SUM(F99:F100)</f>
        <v>21003.48</v>
      </c>
      <c r="G101" s="29">
        <f t="shared" si="21"/>
        <v>25721.17</v>
      </c>
      <c r="H101" s="29">
        <f t="shared" si="21"/>
        <v>32161.309999999998</v>
      </c>
      <c r="I101" s="29">
        <f t="shared" si="21"/>
        <v>38078</v>
      </c>
      <c r="J101" s="29">
        <f t="shared" si="21"/>
        <v>47351.839999999997</v>
      </c>
      <c r="K101" s="40">
        <f t="shared" si="21"/>
        <v>50459.60319207664</v>
      </c>
      <c r="L101" s="29">
        <f t="shared" si="21"/>
        <v>62658.621695611066</v>
      </c>
      <c r="M101" s="29">
        <f t="shared" si="21"/>
        <v>69038.593072855292</v>
      </c>
      <c r="N101" s="29">
        <f t="shared" si="21"/>
        <v>87363.006259315298</v>
      </c>
      <c r="O101" s="29">
        <f t="shared" si="21"/>
        <v>98490.275075596757</v>
      </c>
      <c r="Q101" s="35"/>
    </row>
    <row r="102" spans="2:17" x14ac:dyDescent="0.2">
      <c r="K102" s="38"/>
      <c r="Q102" s="35"/>
    </row>
    <row r="103" spans="2:17" ht="17" thickBot="1" x14ac:dyDescent="0.25">
      <c r="B103" s="5" t="s">
        <v>187</v>
      </c>
      <c r="C103" s="5"/>
      <c r="D103" s="5"/>
      <c r="E103" s="5"/>
      <c r="F103" s="30">
        <f t="shared" ref="F103:O103" si="22">F96+F101</f>
        <v>190181.61000000002</v>
      </c>
      <c r="G103" s="30">
        <f t="shared" si="22"/>
        <v>239941.65999999997</v>
      </c>
      <c r="H103" s="30">
        <f t="shared" si="22"/>
        <v>296115.09999999998</v>
      </c>
      <c r="I103" s="30">
        <f t="shared" si="22"/>
        <v>343818.64999999997</v>
      </c>
      <c r="J103" s="30">
        <f t="shared" si="22"/>
        <v>399780.08999999997</v>
      </c>
      <c r="K103" s="41">
        <f t="shared" si="22"/>
        <v>475995.08867500001</v>
      </c>
      <c r="L103" s="30">
        <f t="shared" si="22"/>
        <v>573728.16654731112</v>
      </c>
      <c r="M103" s="30">
        <f t="shared" si="22"/>
        <v>681677.82690585987</v>
      </c>
      <c r="N103" s="30">
        <f t="shared" si="22"/>
        <v>809195.6564073317</v>
      </c>
      <c r="O103" s="30">
        <f t="shared" si="22"/>
        <v>946795.40131287416</v>
      </c>
      <c r="Q103" s="35"/>
    </row>
    <row r="104" spans="2:17" x14ac:dyDescent="0.2">
      <c r="K104" s="38"/>
      <c r="Q104" s="35"/>
    </row>
    <row r="105" spans="2:17" x14ac:dyDescent="0.2">
      <c r="B105" s="11" t="s">
        <v>20</v>
      </c>
      <c r="C105" s="11"/>
      <c r="D105" s="11"/>
      <c r="E105" s="11"/>
      <c r="F105" s="36">
        <f t="shared" ref="F105:O105" si="23">ROUND(F103-F90,0)</f>
        <v>0</v>
      </c>
      <c r="G105" s="36">
        <f t="shared" si="23"/>
        <v>0</v>
      </c>
      <c r="H105" s="36">
        <f t="shared" si="23"/>
        <v>0</v>
      </c>
      <c r="I105" s="36">
        <f t="shared" si="23"/>
        <v>0</v>
      </c>
      <c r="J105" s="36">
        <f t="shared" si="23"/>
        <v>0</v>
      </c>
      <c r="K105" s="45">
        <f t="shared" si="23"/>
        <v>0</v>
      </c>
      <c r="L105" s="36">
        <f t="shared" si="23"/>
        <v>0</v>
      </c>
      <c r="M105" s="36">
        <f t="shared" si="23"/>
        <v>0</v>
      </c>
      <c r="N105" s="36">
        <f t="shared" si="23"/>
        <v>0</v>
      </c>
      <c r="O105" s="36">
        <f t="shared" si="23"/>
        <v>0</v>
      </c>
      <c r="Q105" s="35"/>
    </row>
    <row r="106" spans="2:17" x14ac:dyDescent="0.2">
      <c r="Q106" s="35"/>
    </row>
    <row r="107" spans="2:17" x14ac:dyDescent="0.2">
      <c r="Q107" s="35"/>
    </row>
    <row r="108" spans="2:17" ht="20" x14ac:dyDescent="0.25">
      <c r="B108" s="150" t="s">
        <v>188</v>
      </c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Q108" s="35"/>
    </row>
    <row r="109" spans="2:17" x14ac:dyDescent="0.2">
      <c r="Q109" s="35"/>
    </row>
    <row r="110" spans="2:17" ht="17" thickBot="1" x14ac:dyDescent="0.25">
      <c r="B110" s="3" t="s">
        <v>58</v>
      </c>
      <c r="F110" s="4">
        <f t="shared" ref="F110:O110" si="24">F$5</f>
        <v>2022</v>
      </c>
      <c r="G110" s="4">
        <f t="shared" si="24"/>
        <v>2023</v>
      </c>
      <c r="H110" s="4">
        <f t="shared" si="24"/>
        <v>2024</v>
      </c>
      <c r="I110" s="4">
        <f t="shared" si="24"/>
        <v>2025</v>
      </c>
      <c r="J110" s="4">
        <f t="shared" si="24"/>
        <v>2026</v>
      </c>
      <c r="K110" s="16">
        <f t="shared" si="24"/>
        <v>2027</v>
      </c>
      <c r="L110" s="16">
        <f t="shared" si="24"/>
        <v>2028</v>
      </c>
      <c r="M110" s="16">
        <f t="shared" si="24"/>
        <v>2029</v>
      </c>
      <c r="N110" s="16">
        <f t="shared" si="24"/>
        <v>2030</v>
      </c>
      <c r="O110" s="16">
        <f t="shared" si="24"/>
        <v>2031</v>
      </c>
      <c r="Q110" s="35"/>
    </row>
    <row r="111" spans="2:17" x14ac:dyDescent="0.2">
      <c r="B111" s="3" t="str">
        <f>B$6</f>
        <v>Model Running: Base Case Drivers</v>
      </c>
      <c r="Q111" s="35"/>
    </row>
    <row r="112" spans="2:17" x14ac:dyDescent="0.2">
      <c r="Q112" s="35"/>
    </row>
    <row r="113" spans="2:17" x14ac:dyDescent="0.2">
      <c r="B113" s="5" t="s">
        <v>189</v>
      </c>
      <c r="Q113" s="35"/>
    </row>
    <row r="114" spans="2:17" x14ac:dyDescent="0.2">
      <c r="B114" s="1" t="s">
        <v>190</v>
      </c>
      <c r="F114" s="23"/>
      <c r="G114" s="32">
        <f>G115/F115-1</f>
        <v>0.287946406601854</v>
      </c>
      <c r="H114" s="32">
        <f>H115/G115-1</f>
        <v>0.28194586458418502</v>
      </c>
      <c r="I114" s="32">
        <f>I115/H115-1</f>
        <v>0.19795308521089505</v>
      </c>
      <c r="J114" s="32">
        <f>J115/I115-1</f>
        <v>0.20281222120492615</v>
      </c>
      <c r="K114" s="46">
        <f>Inputs!K9</f>
        <v>0.2</v>
      </c>
      <c r="L114" s="46">
        <f>Inputs!L9</f>
        <v>0.2</v>
      </c>
      <c r="M114" s="46">
        <f>Inputs!M9</f>
        <v>0.19</v>
      </c>
      <c r="N114" s="46">
        <f>Inputs!N9</f>
        <v>0.18</v>
      </c>
      <c r="O114" s="46">
        <f>Inputs!O9</f>
        <v>0.17</v>
      </c>
      <c r="Q114" s="35"/>
    </row>
    <row r="115" spans="2:17" x14ac:dyDescent="0.2">
      <c r="B115" s="5" t="s">
        <v>191</v>
      </c>
      <c r="C115" s="5"/>
      <c r="D115" s="5"/>
      <c r="E115" s="5"/>
      <c r="F115" s="28">
        <f>F87</f>
        <v>117857.8</v>
      </c>
      <c r="G115" s="28">
        <f>G87</f>
        <v>151794.53</v>
      </c>
      <c r="H115" s="28">
        <f>H87</f>
        <v>194592.37</v>
      </c>
      <c r="I115" s="28">
        <f>I87</f>
        <v>233112.53</v>
      </c>
      <c r="J115" s="28">
        <f>J87</f>
        <v>280390.59999999998</v>
      </c>
      <c r="K115" s="28">
        <f>J115*(1+K114)</f>
        <v>336468.72</v>
      </c>
      <c r="L115" s="28">
        <f>K115*(1+L114)</f>
        <v>403762.46399999998</v>
      </c>
      <c r="M115" s="28">
        <f>L115*(1+M114)</f>
        <v>480477.33215999993</v>
      </c>
      <c r="N115" s="28">
        <f>M115*(1+N114)</f>
        <v>566963.25194879994</v>
      </c>
      <c r="O115" s="28">
        <f>N115*(1+O114)</f>
        <v>663347.00478009589</v>
      </c>
      <c r="Q115" s="35"/>
    </row>
    <row r="116" spans="2:17" x14ac:dyDescent="0.2">
      <c r="B116" s="1" t="s">
        <v>192</v>
      </c>
      <c r="F116" s="8"/>
      <c r="G116" s="27">
        <f t="shared" ref="G116:O116" si="25">AVERAGE(F115:G115)</f>
        <v>134826.16500000001</v>
      </c>
      <c r="H116" s="27">
        <f t="shared" si="25"/>
        <v>173193.45</v>
      </c>
      <c r="I116" s="27">
        <f t="shared" si="25"/>
        <v>213852.45</v>
      </c>
      <c r="J116" s="27">
        <f t="shared" si="25"/>
        <v>256751.565</v>
      </c>
      <c r="K116" s="27">
        <f t="shared" si="25"/>
        <v>308429.65999999997</v>
      </c>
      <c r="L116" s="27">
        <f t="shared" si="25"/>
        <v>370115.59199999995</v>
      </c>
      <c r="M116" s="27">
        <f t="shared" si="25"/>
        <v>442119.89807999996</v>
      </c>
      <c r="N116" s="27">
        <f t="shared" si="25"/>
        <v>523720.29205439996</v>
      </c>
      <c r="O116" s="27">
        <f t="shared" si="25"/>
        <v>615155.12836444797</v>
      </c>
      <c r="Q116" s="35"/>
    </row>
    <row r="117" spans="2:17" x14ac:dyDescent="0.2">
      <c r="Q117" s="35"/>
    </row>
    <row r="118" spans="2:17" x14ac:dyDescent="0.2">
      <c r="B118" s="5" t="s">
        <v>116</v>
      </c>
      <c r="Q118" s="35"/>
    </row>
    <row r="119" spans="2:17" x14ac:dyDescent="0.2">
      <c r="B119" s="1" t="s">
        <v>47</v>
      </c>
      <c r="F119" s="47">
        <f>Historicals!F56</f>
        <v>3.6999999999999998E-2</v>
      </c>
      <c r="G119" s="47">
        <f>Historicals!G56</f>
        <v>2.5100000000000001E-2</v>
      </c>
      <c r="H119" s="47">
        <f>Historicals!H56</f>
        <v>1.8800000000000001E-2</v>
      </c>
      <c r="I119" s="47">
        <f>Historicals!I56</f>
        <v>1.8700000000000001E-2</v>
      </c>
      <c r="J119" s="47">
        <f>Historicals!J56</f>
        <v>1.61E-2</v>
      </c>
      <c r="K119" s="47">
        <f>Inputs!K67</f>
        <v>1.55E-2</v>
      </c>
      <c r="L119" s="47">
        <f>Inputs!L67</f>
        <v>1.4999999999999999E-2</v>
      </c>
      <c r="M119" s="47">
        <f>Inputs!M67</f>
        <v>1.4500000000000001E-2</v>
      </c>
      <c r="N119" s="47">
        <f>Inputs!N67</f>
        <v>1.4500000000000001E-2</v>
      </c>
      <c r="O119" s="47">
        <f>Inputs!O67</f>
        <v>1.4500000000000001E-2</v>
      </c>
      <c r="Q119" s="35"/>
    </row>
    <row r="120" spans="2:17" x14ac:dyDescent="0.2">
      <c r="B120" s="1" t="s">
        <v>193</v>
      </c>
      <c r="F120" s="32">
        <f>(F121-F122)/F121</f>
        <v>0.59543132556000844</v>
      </c>
      <c r="G120" s="32">
        <f>(G121-G122)/G121</f>
        <v>0.66428966777793508</v>
      </c>
      <c r="H120" s="32">
        <f>(H121-H122)/H121</f>
        <v>0.68791079938467492</v>
      </c>
      <c r="I120" s="32">
        <f>(I121-I122)/I121</f>
        <v>0.72258987093951166</v>
      </c>
      <c r="J120" s="32">
        <f>(J121-J122)/J121</f>
        <v>0.70463220518940362</v>
      </c>
      <c r="K120" s="46">
        <f>Inputs!K68</f>
        <v>0.71</v>
      </c>
      <c r="L120" s="46">
        <f>Inputs!L68</f>
        <v>0.72</v>
      </c>
      <c r="M120" s="46">
        <f>Inputs!M68</f>
        <v>0.72</v>
      </c>
      <c r="N120" s="46">
        <f>Inputs!N68</f>
        <v>0.72</v>
      </c>
      <c r="O120" s="46">
        <f>Inputs!O68</f>
        <v>0.72</v>
      </c>
      <c r="Q120" s="35"/>
    </row>
    <row r="121" spans="2:17" x14ac:dyDescent="0.2">
      <c r="B121" s="1" t="s">
        <v>45</v>
      </c>
      <c r="F121" s="26">
        <f>Historicals!F54</f>
        <v>4469.13</v>
      </c>
      <c r="G121" s="26">
        <f>Historicals!G54</f>
        <v>3884.45</v>
      </c>
      <c r="H121" s="26">
        <f>Historicals!H54</f>
        <v>3718.36</v>
      </c>
      <c r="I121" s="26">
        <f>Historicals!I54</f>
        <v>4433.58</v>
      </c>
      <c r="J121" s="26">
        <f>Historicals!J54</f>
        <v>4558.5200000000004</v>
      </c>
      <c r="K121" s="27">
        <f>K119*K115/(1-K119*K120)</f>
        <v>5273.2978023144706</v>
      </c>
      <c r="L121" s="27">
        <f>L119*L115/(1-L119*L120)</f>
        <v>6122.5606146380906</v>
      </c>
      <c r="M121" s="27">
        <f>M119*M115/(1-M119*M120)</f>
        <v>7040.4233359472892</v>
      </c>
      <c r="N121" s="27">
        <f>N119*N115/(1-N119*N120)</f>
        <v>8307.6995364178019</v>
      </c>
      <c r="O121" s="27">
        <f>O119*O115/(1-O119*O120)</f>
        <v>9720.0084576088284</v>
      </c>
      <c r="Q121" s="35"/>
    </row>
    <row r="122" spans="2:17" x14ac:dyDescent="0.2">
      <c r="B122" s="1" t="s">
        <v>46</v>
      </c>
      <c r="F122" s="26">
        <f>Historicals!F55</f>
        <v>1808.07</v>
      </c>
      <c r="G122" s="26">
        <f>Historicals!G55</f>
        <v>1304.05</v>
      </c>
      <c r="H122" s="26">
        <f>Historicals!H55</f>
        <v>1160.46</v>
      </c>
      <c r="I122" s="26">
        <f>Historicals!I55</f>
        <v>1229.92</v>
      </c>
      <c r="J122" s="26">
        <f>Historicals!J55</f>
        <v>1346.44</v>
      </c>
      <c r="K122" s="27">
        <f>K121*(1-K120)</f>
        <v>1529.2563626711967</v>
      </c>
      <c r="L122" s="27">
        <f>L121*(1-L120)</f>
        <v>1714.3169720986655</v>
      </c>
      <c r="M122" s="27">
        <f>M121*(1-M120)</f>
        <v>1971.3185340652412</v>
      </c>
      <c r="N122" s="27">
        <f>N121*(1-N120)</f>
        <v>2326.1558701969848</v>
      </c>
      <c r="O122" s="27">
        <f>O121*(1-O120)</f>
        <v>2721.6023681304723</v>
      </c>
      <c r="Q122" s="35"/>
    </row>
    <row r="123" spans="2:17" x14ac:dyDescent="0.2">
      <c r="B123" s="1" t="s">
        <v>48</v>
      </c>
      <c r="F123" s="47">
        <f>Historicals!F57</f>
        <v>1.5299999999999999E-2</v>
      </c>
      <c r="G123" s="47">
        <f>Historicals!G57</f>
        <v>8.6E-3</v>
      </c>
      <c r="H123" s="47">
        <f>Historicals!H57</f>
        <v>6.0000000000000001E-3</v>
      </c>
      <c r="I123" s="47">
        <f>Historicals!I57</f>
        <v>5.3E-3</v>
      </c>
      <c r="J123" s="47">
        <f>Historicals!J57</f>
        <v>4.7999999999999996E-3</v>
      </c>
      <c r="K123" s="31">
        <f>K122/K115</f>
        <v>4.5450179222341885E-3</v>
      </c>
      <c r="L123" s="31">
        <f>L122/L115</f>
        <v>4.245855236554792E-3</v>
      </c>
      <c r="M123" s="31">
        <f>M122/M115</f>
        <v>4.1028335826023693E-3</v>
      </c>
      <c r="N123" s="31">
        <f>N122/N115</f>
        <v>4.1028335826023693E-3</v>
      </c>
      <c r="O123" s="31">
        <f>O122/O115</f>
        <v>4.1028335826023702E-3</v>
      </c>
      <c r="Q123" s="35"/>
    </row>
    <row r="124" spans="2:17" x14ac:dyDescent="0.2">
      <c r="B124" s="1" t="s">
        <v>194</v>
      </c>
      <c r="F124" s="27">
        <f t="shared" ref="F124:O124" si="26">F115+F121-F122</f>
        <v>120518.86</v>
      </c>
      <c r="G124" s="27">
        <f t="shared" si="26"/>
        <v>154374.93000000002</v>
      </c>
      <c r="H124" s="27">
        <f t="shared" si="26"/>
        <v>197150.27</v>
      </c>
      <c r="I124" s="27">
        <f t="shared" si="26"/>
        <v>236316.18999999997</v>
      </c>
      <c r="J124" s="27">
        <f t="shared" si="26"/>
        <v>283602.68</v>
      </c>
      <c r="K124" s="27">
        <f t="shared" si="26"/>
        <v>340212.76143964322</v>
      </c>
      <c r="L124" s="27">
        <f t="shared" si="26"/>
        <v>408170.7076425394</v>
      </c>
      <c r="M124" s="27">
        <f t="shared" si="26"/>
        <v>485546.43696188199</v>
      </c>
      <c r="N124" s="27">
        <f t="shared" si="26"/>
        <v>572944.79561502079</v>
      </c>
      <c r="O124" s="27">
        <f t="shared" si="26"/>
        <v>670345.41086957429</v>
      </c>
      <c r="Q124" s="35"/>
    </row>
    <row r="125" spans="2:17" x14ac:dyDescent="0.2">
      <c r="Q125" s="35"/>
    </row>
    <row r="126" spans="2:17" x14ac:dyDescent="0.2">
      <c r="B126" s="5" t="s">
        <v>195</v>
      </c>
      <c r="Q126" s="35"/>
    </row>
    <row r="127" spans="2:17" x14ac:dyDescent="0.2">
      <c r="B127" s="1" t="s">
        <v>196</v>
      </c>
      <c r="F127" s="24"/>
      <c r="G127" s="31">
        <f>-G26/G116</f>
        <v>1.2347899979206557E-2</v>
      </c>
      <c r="H127" s="31">
        <f>-H26/H116</f>
        <v>1.3751386094566508E-2</v>
      </c>
      <c r="I127" s="31">
        <f>-I26/I116</f>
        <v>2.5787546506949064E-2</v>
      </c>
      <c r="J127" s="31">
        <f>-J26/J116</f>
        <v>2.0948460431000685E-2</v>
      </c>
      <c r="K127" s="47">
        <f>Inputs!K30</f>
        <v>1.7500000000000002E-2</v>
      </c>
      <c r="L127" s="47">
        <f>Inputs!L30</f>
        <v>1.6500000000000001E-2</v>
      </c>
      <c r="M127" s="47">
        <f>Inputs!M30</f>
        <v>1.6E-2</v>
      </c>
      <c r="N127" s="47">
        <f>Inputs!N30</f>
        <v>1.55E-2</v>
      </c>
      <c r="O127" s="47">
        <f>Inputs!O30</f>
        <v>1.55E-2</v>
      </c>
      <c r="Q127" s="35"/>
    </row>
    <row r="128" spans="2:17" x14ac:dyDescent="0.2">
      <c r="B128" s="5" t="s">
        <v>197</v>
      </c>
      <c r="C128" s="5"/>
      <c r="D128" s="5"/>
      <c r="E128" s="5"/>
      <c r="F128" s="28">
        <f>-F26</f>
        <v>3108.58</v>
      </c>
      <c r="G128" s="28">
        <f>-G26</f>
        <v>1664.82</v>
      </c>
      <c r="H128" s="28">
        <f>-H26</f>
        <v>2381.65</v>
      </c>
      <c r="I128" s="28">
        <f>-I26</f>
        <v>5514.73</v>
      </c>
      <c r="J128" s="28">
        <f>-J26</f>
        <v>5378.55</v>
      </c>
      <c r="K128" s="28">
        <f>K127*K116</f>
        <v>5397.5190499999999</v>
      </c>
      <c r="L128" s="28">
        <f>L127*L116</f>
        <v>6106.907267999999</v>
      </c>
      <c r="M128" s="28">
        <f>M127*M116</f>
        <v>7073.9183692799998</v>
      </c>
      <c r="N128" s="28">
        <f>N127*N116</f>
        <v>8117.6645268431994</v>
      </c>
      <c r="O128" s="28">
        <f>O127*O116</f>
        <v>9534.9044896489431</v>
      </c>
      <c r="Q128" s="35"/>
    </row>
    <row r="129" spans="2:17" x14ac:dyDescent="0.2">
      <c r="Q129" s="35"/>
    </row>
    <row r="130" spans="2:17" x14ac:dyDescent="0.2">
      <c r="Q130" s="35"/>
    </row>
    <row r="131" spans="2:17" ht="20" x14ac:dyDescent="0.25">
      <c r="B131" s="150" t="s">
        <v>198</v>
      </c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Q131" s="35"/>
    </row>
    <row r="132" spans="2:17" x14ac:dyDescent="0.2">
      <c r="Q132" s="35"/>
    </row>
    <row r="133" spans="2:17" ht="17" thickBot="1" x14ac:dyDescent="0.25">
      <c r="B133" s="3" t="s">
        <v>58</v>
      </c>
      <c r="F133" s="4">
        <f t="shared" ref="F133:O133" si="27">F$5</f>
        <v>2022</v>
      </c>
      <c r="G133" s="4">
        <f t="shared" si="27"/>
        <v>2023</v>
      </c>
      <c r="H133" s="4">
        <f t="shared" si="27"/>
        <v>2024</v>
      </c>
      <c r="I133" s="4">
        <f t="shared" si="27"/>
        <v>2025</v>
      </c>
      <c r="J133" s="4">
        <f t="shared" si="27"/>
        <v>2026</v>
      </c>
      <c r="K133" s="16">
        <f t="shared" si="27"/>
        <v>2027</v>
      </c>
      <c r="L133" s="16">
        <f t="shared" si="27"/>
        <v>2028</v>
      </c>
      <c r="M133" s="16">
        <f t="shared" si="27"/>
        <v>2029</v>
      </c>
      <c r="N133" s="16">
        <f t="shared" si="27"/>
        <v>2030</v>
      </c>
      <c r="O133" s="16">
        <f t="shared" si="27"/>
        <v>2031</v>
      </c>
      <c r="Q133" s="35"/>
    </row>
    <row r="134" spans="2:17" x14ac:dyDescent="0.2">
      <c r="B134" s="3" t="str">
        <f>B$6</f>
        <v>Model Running: Base Case Drivers</v>
      </c>
      <c r="Q134" s="35"/>
    </row>
    <row r="135" spans="2:17" x14ac:dyDescent="0.2">
      <c r="Q135" s="35"/>
    </row>
    <row r="136" spans="2:17" x14ac:dyDescent="0.2">
      <c r="B136" s="5" t="s">
        <v>199</v>
      </c>
      <c r="Q136" s="35"/>
    </row>
    <row r="137" spans="2:17" x14ac:dyDescent="0.2">
      <c r="B137" s="1" t="s">
        <v>200</v>
      </c>
      <c r="F137" s="23"/>
      <c r="G137" s="32">
        <f>G138/F138-1</f>
        <v>0.36922597912270216</v>
      </c>
      <c r="H137" s="32">
        <f>H138/G138-1</f>
        <v>0.38675359767130635</v>
      </c>
      <c r="I137" s="32">
        <f>I138/H138-1</f>
        <v>0.2567049917310773</v>
      </c>
      <c r="J137" s="32">
        <f>J138/I138-1</f>
        <v>0.16824730898051188</v>
      </c>
      <c r="K137" s="46">
        <f>Inputs!K16</f>
        <v>0.22</v>
      </c>
      <c r="L137" s="46">
        <f>Inputs!L16</f>
        <v>0.21</v>
      </c>
      <c r="M137" s="46">
        <f>Inputs!M16</f>
        <v>0.2</v>
      </c>
      <c r="N137" s="46">
        <f>Inputs!N16</f>
        <v>0.19</v>
      </c>
      <c r="O137" s="46">
        <f>Inputs!O16</f>
        <v>0.18</v>
      </c>
      <c r="Q137" s="35"/>
    </row>
    <row r="138" spans="2:17" x14ac:dyDescent="0.2">
      <c r="B138" s="5" t="s">
        <v>201</v>
      </c>
      <c r="C138" s="5"/>
      <c r="D138" s="5"/>
      <c r="E138" s="5"/>
      <c r="F138" s="28">
        <f>F93</f>
        <v>105634.36</v>
      </c>
      <c r="G138" s="28">
        <f>G93</f>
        <v>144637.31</v>
      </c>
      <c r="H138" s="28">
        <f>H93</f>
        <v>200576.31</v>
      </c>
      <c r="I138" s="28">
        <f>I93</f>
        <v>252065.25</v>
      </c>
      <c r="J138" s="28">
        <f>J93</f>
        <v>294474.55</v>
      </c>
      <c r="K138" s="28">
        <f>J138*(1+K137)</f>
        <v>359258.951</v>
      </c>
      <c r="L138" s="28">
        <f>K138*(1+L137)</f>
        <v>434703.33071000001</v>
      </c>
      <c r="M138" s="28">
        <f>L138*(1+M137)</f>
        <v>521643.99685200001</v>
      </c>
      <c r="N138" s="28">
        <f>M138*(1+N137)</f>
        <v>620756.35625387996</v>
      </c>
      <c r="O138" s="28">
        <f>N138*(1+O137)</f>
        <v>732492.50037957833</v>
      </c>
      <c r="Q138" s="35"/>
    </row>
    <row r="139" spans="2:17" x14ac:dyDescent="0.2">
      <c r="B139" s="1" t="s">
        <v>74</v>
      </c>
      <c r="F139" s="32">
        <f>F140/F138</f>
        <v>0.48440677824904699</v>
      </c>
      <c r="G139" s="32">
        <f>G140/G138</f>
        <v>0.49767933322321883</v>
      </c>
      <c r="H139" s="32">
        <f>H140/H138</f>
        <v>0.47247852949333846</v>
      </c>
      <c r="I139" s="32">
        <f>I140/I138</f>
        <v>0.46907298804575404</v>
      </c>
      <c r="J139" s="32">
        <f>J140/J138</f>
        <v>0.49800568504137288</v>
      </c>
      <c r="K139" s="46">
        <f>Inputs!K41</f>
        <v>0.5</v>
      </c>
      <c r="L139" s="46">
        <f>Inputs!L41</f>
        <v>0.505</v>
      </c>
      <c r="M139" s="46">
        <f>Inputs!M41</f>
        <v>0.51</v>
      </c>
      <c r="N139" s="46">
        <f>Inputs!N41</f>
        <v>0.51500000000000001</v>
      </c>
      <c r="O139" s="46">
        <f>Inputs!O41</f>
        <v>0.52</v>
      </c>
      <c r="Q139" s="35"/>
    </row>
    <row r="140" spans="2:17" x14ac:dyDescent="0.2">
      <c r="B140" s="1" t="s">
        <v>50</v>
      </c>
      <c r="F140" s="26">
        <f>Historicals!F59</f>
        <v>51170</v>
      </c>
      <c r="G140" s="26">
        <f>Historicals!G59</f>
        <v>71983</v>
      </c>
      <c r="H140" s="26">
        <f>Historicals!H59</f>
        <v>94768</v>
      </c>
      <c r="I140" s="26">
        <f>Historicals!I59</f>
        <v>118237</v>
      </c>
      <c r="J140" s="26">
        <f>Historicals!J59</f>
        <v>146650</v>
      </c>
      <c r="K140" s="27">
        <f>K138*K139</f>
        <v>179629.4755</v>
      </c>
      <c r="L140" s="27">
        <f>L138*L139</f>
        <v>219525.18200855001</v>
      </c>
      <c r="M140" s="27">
        <f>M138*M139</f>
        <v>266038.43839452002</v>
      </c>
      <c r="N140" s="27">
        <f>N138*N139</f>
        <v>319689.52347074822</v>
      </c>
      <c r="O140" s="27">
        <f>O138*O139</f>
        <v>380896.10019738076</v>
      </c>
      <c r="Q140" s="35"/>
    </row>
    <row r="141" spans="2:17" x14ac:dyDescent="0.2">
      <c r="B141" s="1" t="s">
        <v>202</v>
      </c>
      <c r="F141" s="27">
        <f t="shared" ref="F141:O141" si="28">F138-F140</f>
        <v>54464.36</v>
      </c>
      <c r="G141" s="27">
        <f t="shared" si="28"/>
        <v>72654.31</v>
      </c>
      <c r="H141" s="27">
        <f t="shared" si="28"/>
        <v>105808.31</v>
      </c>
      <c r="I141" s="27">
        <f t="shared" si="28"/>
        <v>133828.25</v>
      </c>
      <c r="J141" s="27">
        <f t="shared" si="28"/>
        <v>147824.54999999999</v>
      </c>
      <c r="K141" s="27">
        <f t="shared" si="28"/>
        <v>179629.4755</v>
      </c>
      <c r="L141" s="27">
        <f t="shared" si="28"/>
        <v>215178.14870145</v>
      </c>
      <c r="M141" s="27">
        <f t="shared" si="28"/>
        <v>255605.55845747999</v>
      </c>
      <c r="N141" s="27">
        <f t="shared" si="28"/>
        <v>301066.83278313174</v>
      </c>
      <c r="O141" s="27">
        <f t="shared" si="28"/>
        <v>351596.40018219757</v>
      </c>
      <c r="Q141" s="35"/>
    </row>
    <row r="142" spans="2:17" x14ac:dyDescent="0.2">
      <c r="B142" s="1" t="s">
        <v>203</v>
      </c>
      <c r="F142" s="8"/>
      <c r="G142" s="27">
        <f t="shared" ref="G142:O142" si="29">AVERAGE(F138:G138)</f>
        <v>125135.83499999999</v>
      </c>
      <c r="H142" s="27">
        <f t="shared" si="29"/>
        <v>172606.81</v>
      </c>
      <c r="I142" s="27">
        <f t="shared" si="29"/>
        <v>226320.78</v>
      </c>
      <c r="J142" s="27">
        <f t="shared" si="29"/>
        <v>273269.90000000002</v>
      </c>
      <c r="K142" s="27">
        <f t="shared" si="29"/>
        <v>326866.75049999997</v>
      </c>
      <c r="L142" s="27">
        <f t="shared" si="29"/>
        <v>396981.14085500001</v>
      </c>
      <c r="M142" s="27">
        <f t="shared" si="29"/>
        <v>478173.66378100001</v>
      </c>
      <c r="N142" s="27">
        <f t="shared" si="29"/>
        <v>571200.17655293993</v>
      </c>
      <c r="O142" s="27">
        <f t="shared" si="29"/>
        <v>676624.42831672914</v>
      </c>
      <c r="Q142" s="35"/>
    </row>
    <row r="143" spans="2:17" x14ac:dyDescent="0.2">
      <c r="B143" s="1" t="s">
        <v>204</v>
      </c>
      <c r="F143" s="32">
        <f t="shared" ref="F143:O143" si="30">F115/F138</f>
        <v>1.1157146216439424</v>
      </c>
      <c r="G143" s="32">
        <f t="shared" si="30"/>
        <v>1.0494839125534068</v>
      </c>
      <c r="H143" s="32">
        <f t="shared" si="30"/>
        <v>0.97016626739219602</v>
      </c>
      <c r="I143" s="32">
        <f t="shared" si="30"/>
        <v>0.92481026242213082</v>
      </c>
      <c r="J143" s="32">
        <f t="shared" si="30"/>
        <v>0.95217260710645446</v>
      </c>
      <c r="K143" s="32">
        <f t="shared" si="30"/>
        <v>0.93656322010470927</v>
      </c>
      <c r="L143" s="32">
        <f t="shared" si="30"/>
        <v>0.92882302820301754</v>
      </c>
      <c r="M143" s="32">
        <f t="shared" si="30"/>
        <v>0.92108283630132559</v>
      </c>
      <c r="N143" s="32">
        <f t="shared" si="30"/>
        <v>0.91334264439963386</v>
      </c>
      <c r="O143" s="32">
        <f t="shared" si="30"/>
        <v>0.90560245249794202</v>
      </c>
      <c r="Q143" s="35"/>
    </row>
    <row r="144" spans="2:17" x14ac:dyDescent="0.2">
      <c r="Q144" s="35"/>
    </row>
    <row r="145" spans="2:17" x14ac:dyDescent="0.2">
      <c r="B145" s="5" t="s">
        <v>205</v>
      </c>
      <c r="Q145" s="35"/>
    </row>
    <row r="146" spans="2:17" x14ac:dyDescent="0.2">
      <c r="B146" s="1" t="s">
        <v>206</v>
      </c>
      <c r="F146" s="23"/>
      <c r="G146" s="32">
        <f>G147/F147-1</f>
        <v>8.023567574099455E-2</v>
      </c>
      <c r="H146" s="32">
        <f>H147/G147-1</f>
        <v>-0.10970618273165689</v>
      </c>
      <c r="I146" s="32">
        <f>I147/H147-1</f>
        <v>-0.23482077455891837</v>
      </c>
      <c r="J146" s="32">
        <f>J147/I147-1</f>
        <v>-6.0402043985299136E-2</v>
      </c>
      <c r="K146" s="46">
        <f>Inputs!K42</f>
        <v>0.12</v>
      </c>
      <c r="L146" s="46">
        <f>Inputs!L42</f>
        <v>0.12</v>
      </c>
      <c r="M146" s="46">
        <f>Inputs!M42</f>
        <v>0.12</v>
      </c>
      <c r="N146" s="46">
        <f>Inputs!N42</f>
        <v>0.12</v>
      </c>
      <c r="O146" s="46">
        <f>Inputs!O42</f>
        <v>0.12</v>
      </c>
      <c r="Q146" s="35"/>
    </row>
    <row r="147" spans="2:17" x14ac:dyDescent="0.2">
      <c r="B147" s="5" t="s">
        <v>207</v>
      </c>
      <c r="C147" s="5"/>
      <c r="D147" s="5"/>
      <c r="E147" s="5"/>
      <c r="F147" s="28">
        <f>F94</f>
        <v>52962.6</v>
      </c>
      <c r="G147" s="28">
        <f>G94</f>
        <v>57212.09</v>
      </c>
      <c r="H147" s="28">
        <f>H94</f>
        <v>50935.57</v>
      </c>
      <c r="I147" s="28">
        <f>I94</f>
        <v>38974.839999999997</v>
      </c>
      <c r="J147" s="28">
        <f>J94</f>
        <v>36620.68</v>
      </c>
      <c r="K147" s="28">
        <f>J147*(1+K146)</f>
        <v>41015.161600000007</v>
      </c>
      <c r="L147" s="28">
        <f>K147*(1+L146)</f>
        <v>45936.980992000012</v>
      </c>
      <c r="M147" s="28">
        <f>L147*(1+M146)</f>
        <v>51449.418711040016</v>
      </c>
      <c r="N147" s="28">
        <f>M147*(1+N146)</f>
        <v>57623.348956364825</v>
      </c>
      <c r="O147" s="28">
        <f>N147*(1+O146)</f>
        <v>64538.150831128609</v>
      </c>
      <c r="Q147" s="35"/>
    </row>
    <row r="148" spans="2:17" x14ac:dyDescent="0.2">
      <c r="B148" s="1" t="s">
        <v>208</v>
      </c>
      <c r="F148" s="8"/>
      <c r="G148" s="27">
        <f t="shared" ref="G148:O148" si="31">AVERAGE(F147:G147)</f>
        <v>55087.345000000001</v>
      </c>
      <c r="H148" s="27">
        <f t="shared" si="31"/>
        <v>54073.83</v>
      </c>
      <c r="I148" s="27">
        <f t="shared" si="31"/>
        <v>44955.205000000002</v>
      </c>
      <c r="J148" s="27">
        <f t="shared" si="31"/>
        <v>37797.759999999995</v>
      </c>
      <c r="K148" s="27">
        <f t="shared" si="31"/>
        <v>38817.920800000007</v>
      </c>
      <c r="L148" s="27">
        <f t="shared" si="31"/>
        <v>43476.071296000009</v>
      </c>
      <c r="M148" s="27">
        <f t="shared" si="31"/>
        <v>48693.19985152001</v>
      </c>
      <c r="N148" s="27">
        <f t="shared" si="31"/>
        <v>54536.383833702421</v>
      </c>
      <c r="O148" s="27">
        <f t="shared" si="31"/>
        <v>61080.749893746717</v>
      </c>
      <c r="Q148" s="35"/>
    </row>
    <row r="149" spans="2:17" x14ac:dyDescent="0.2">
      <c r="Q149" s="35"/>
    </row>
    <row r="150" spans="2:17" x14ac:dyDescent="0.2">
      <c r="Q150" s="35"/>
    </row>
    <row r="151" spans="2:17" ht="20" x14ac:dyDescent="0.25">
      <c r="B151" s="150" t="s">
        <v>209</v>
      </c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Q151" s="35"/>
    </row>
    <row r="152" spans="2:17" x14ac:dyDescent="0.2">
      <c r="Q152" s="35"/>
    </row>
    <row r="153" spans="2:17" ht="17" thickBot="1" x14ac:dyDescent="0.25">
      <c r="B153" s="3" t="s">
        <v>58</v>
      </c>
      <c r="F153" s="4">
        <f t="shared" ref="F153:O153" si="32">F$5</f>
        <v>2022</v>
      </c>
      <c r="G153" s="4">
        <f t="shared" si="32"/>
        <v>2023</v>
      </c>
      <c r="H153" s="4">
        <f t="shared" si="32"/>
        <v>2024</v>
      </c>
      <c r="I153" s="4">
        <f t="shared" si="32"/>
        <v>2025</v>
      </c>
      <c r="J153" s="4">
        <f t="shared" si="32"/>
        <v>2026</v>
      </c>
      <c r="K153" s="16">
        <f t="shared" si="32"/>
        <v>2027</v>
      </c>
      <c r="L153" s="16">
        <f t="shared" si="32"/>
        <v>2028</v>
      </c>
      <c r="M153" s="16">
        <f t="shared" si="32"/>
        <v>2029</v>
      </c>
      <c r="N153" s="16">
        <f t="shared" si="32"/>
        <v>2030</v>
      </c>
      <c r="O153" s="16">
        <f t="shared" si="32"/>
        <v>2031</v>
      </c>
      <c r="Q153" s="35"/>
    </row>
    <row r="154" spans="2:17" x14ac:dyDescent="0.2">
      <c r="B154" s="3" t="str">
        <f>B$6</f>
        <v>Model Running: Base Case Drivers</v>
      </c>
      <c r="Q154" s="35"/>
    </row>
    <row r="155" spans="2:17" x14ac:dyDescent="0.2">
      <c r="Q155" s="35"/>
    </row>
    <row r="156" spans="2:17" x14ac:dyDescent="0.2">
      <c r="B156" s="5" t="s">
        <v>210</v>
      </c>
      <c r="Q156" s="35"/>
    </row>
    <row r="157" spans="2:17" x14ac:dyDescent="0.2">
      <c r="B157" s="1" t="s">
        <v>78</v>
      </c>
      <c r="F157" s="32">
        <f>F158/F138</f>
        <v>0.43683551450493946</v>
      </c>
      <c r="G157" s="32">
        <f>G158/G138</f>
        <v>0.4225987748251126</v>
      </c>
      <c r="H157" s="32">
        <f>H158/H138</f>
        <v>0.37247863419164506</v>
      </c>
      <c r="I157" s="32">
        <f>I158/I138</f>
        <v>0.32021676926906822</v>
      </c>
      <c r="J157" s="32">
        <f>J158/J138</f>
        <v>0.2919310004888368</v>
      </c>
      <c r="K157" s="46">
        <f>Inputs!K43</f>
        <v>0.28000000000000003</v>
      </c>
      <c r="L157" s="46">
        <f>Inputs!L43</f>
        <v>0.28000000000000003</v>
      </c>
      <c r="M157" s="46">
        <f>Inputs!M43</f>
        <v>0.28000000000000003</v>
      </c>
      <c r="N157" s="46">
        <f>Inputs!N43</f>
        <v>0.28000000000000003</v>
      </c>
      <c r="O157" s="46">
        <f>Inputs!O43</f>
        <v>0.28000000000000003</v>
      </c>
      <c r="Q157" s="35"/>
    </row>
    <row r="158" spans="2:17" x14ac:dyDescent="0.2">
      <c r="B158" s="5" t="s">
        <v>30</v>
      </c>
      <c r="C158" s="5"/>
      <c r="D158" s="5"/>
      <c r="E158" s="5"/>
      <c r="F158" s="28">
        <f>F86</f>
        <v>46144.84</v>
      </c>
      <c r="G158" s="28">
        <f>G86</f>
        <v>61123.55</v>
      </c>
      <c r="H158" s="28">
        <f>H86</f>
        <v>74710.39</v>
      </c>
      <c r="I158" s="28">
        <f>I86</f>
        <v>80715.520000000004</v>
      </c>
      <c r="J158" s="28">
        <f>J86</f>
        <v>85966.25</v>
      </c>
      <c r="K158" s="28">
        <f>K138*K157</f>
        <v>100592.50628000002</v>
      </c>
      <c r="L158" s="28">
        <f>L138*L157</f>
        <v>121716.93259880002</v>
      </c>
      <c r="M158" s="28">
        <f>M138*M157</f>
        <v>146060.31911856003</v>
      </c>
      <c r="N158" s="28">
        <f>N138*N157</f>
        <v>173811.7797510864</v>
      </c>
      <c r="O158" s="28">
        <f>O138*O157</f>
        <v>205097.90010628194</v>
      </c>
      <c r="Q158" s="35"/>
    </row>
    <row r="159" spans="2:17" x14ac:dyDescent="0.2">
      <c r="B159" s="1" t="s">
        <v>211</v>
      </c>
      <c r="F159" s="8"/>
      <c r="G159" s="27">
        <f t="shared" ref="G159:O159" si="33">AVERAGE(F158:G158)</f>
        <v>53634.195</v>
      </c>
      <c r="H159" s="27">
        <f t="shared" si="33"/>
        <v>67916.97</v>
      </c>
      <c r="I159" s="27">
        <f t="shared" si="33"/>
        <v>77712.955000000002</v>
      </c>
      <c r="J159" s="27">
        <f t="shared" si="33"/>
        <v>83340.885000000009</v>
      </c>
      <c r="K159" s="27">
        <f t="shared" si="33"/>
        <v>93279.378140000015</v>
      </c>
      <c r="L159" s="27">
        <f t="shared" si="33"/>
        <v>111154.71943940001</v>
      </c>
      <c r="M159" s="27">
        <f t="shared" si="33"/>
        <v>133888.62585868002</v>
      </c>
      <c r="N159" s="27">
        <f t="shared" si="33"/>
        <v>159936.04943482322</v>
      </c>
      <c r="O159" s="27">
        <f t="shared" si="33"/>
        <v>189454.83992868417</v>
      </c>
      <c r="Q159" s="35"/>
    </row>
    <row r="160" spans="2:17" x14ac:dyDescent="0.2">
      <c r="Q160" s="35"/>
    </row>
    <row r="161" spans="2:17" x14ac:dyDescent="0.2">
      <c r="B161" s="5" t="s">
        <v>212</v>
      </c>
      <c r="Q161" s="35"/>
    </row>
    <row r="162" spans="2:17" x14ac:dyDescent="0.2">
      <c r="B162" s="1" t="s">
        <v>80</v>
      </c>
      <c r="F162" s="31">
        <f>F163/F138</f>
        <v>0.10782400726430302</v>
      </c>
      <c r="G162" s="31">
        <f>G163/G138</f>
        <v>7.4252901965613155E-2</v>
      </c>
      <c r="H162" s="31">
        <f>H163/H138</f>
        <v>5.5215992357223048E-2</v>
      </c>
      <c r="I162" s="31">
        <f>I163/I138</f>
        <v>5.5634404187011099E-2</v>
      </c>
      <c r="J162" s="31">
        <f>J163/J138</f>
        <v>3.8499523982632795E-2</v>
      </c>
      <c r="K162" s="47">
        <f>Inputs!K44</f>
        <v>3.7999999999999999E-2</v>
      </c>
      <c r="L162" s="47">
        <f>Inputs!L44</f>
        <v>3.7999999999999999E-2</v>
      </c>
      <c r="M162" s="47">
        <f>Inputs!M44</f>
        <v>3.7999999999999999E-2</v>
      </c>
      <c r="N162" s="47">
        <f>Inputs!N44</f>
        <v>3.7999999999999999E-2</v>
      </c>
      <c r="O162" s="47">
        <f>Inputs!O44</f>
        <v>3.7999999999999999E-2</v>
      </c>
      <c r="Q162" s="35"/>
    </row>
    <row r="163" spans="2:17" x14ac:dyDescent="0.2">
      <c r="B163" s="1" t="s">
        <v>28</v>
      </c>
      <c r="F163" s="27">
        <f>F84</f>
        <v>11389.92</v>
      </c>
      <c r="G163" s="27">
        <f>G84</f>
        <v>10739.74</v>
      </c>
      <c r="H163" s="27">
        <f>H84</f>
        <v>11075.02</v>
      </c>
      <c r="I163" s="27">
        <f>I84</f>
        <v>14023.5</v>
      </c>
      <c r="J163" s="27">
        <f>J84</f>
        <v>11337.13</v>
      </c>
      <c r="K163" s="27">
        <f>K138*K162</f>
        <v>13651.840138</v>
      </c>
      <c r="L163" s="27">
        <f>L138*L162</f>
        <v>16518.72656698</v>
      </c>
      <c r="M163" s="27">
        <f>M138*M162</f>
        <v>19822.471880376001</v>
      </c>
      <c r="N163" s="27">
        <f>N138*N162</f>
        <v>23588.741537647438</v>
      </c>
      <c r="O163" s="27">
        <f>O138*O162</f>
        <v>27834.715014423975</v>
      </c>
      <c r="Q163" s="35"/>
    </row>
    <row r="164" spans="2:17" x14ac:dyDescent="0.2">
      <c r="B164" s="1" t="s">
        <v>82</v>
      </c>
      <c r="F164" s="31">
        <f>F85/F138</f>
        <v>4.1350087225406576E-2</v>
      </c>
      <c r="G164" s="31">
        <f>G85/G138</f>
        <v>2.1835444810194546E-2</v>
      </c>
      <c r="H164" s="31">
        <f>H85/H138</f>
        <v>7.0057625449386329E-3</v>
      </c>
      <c r="I164" s="31">
        <f>I85/I138</f>
        <v>4.2602461069108097E-3</v>
      </c>
      <c r="J164" s="31">
        <f>J85/J138</f>
        <v>4.8400107921041059E-3</v>
      </c>
      <c r="K164" s="47">
        <f>Inputs!K45</f>
        <v>7.0000000000000001E-3</v>
      </c>
      <c r="L164" s="47">
        <f>Inputs!L45</f>
        <v>7.0000000000000001E-3</v>
      </c>
      <c r="M164" s="47">
        <f>Inputs!M45</f>
        <v>7.0000000000000001E-3</v>
      </c>
      <c r="N164" s="47">
        <f>Inputs!N45</f>
        <v>7.0000000000000001E-3</v>
      </c>
      <c r="O164" s="47">
        <f>Inputs!O45</f>
        <v>7.0000000000000001E-3</v>
      </c>
      <c r="Q164" s="35"/>
    </row>
    <row r="165" spans="2:17" x14ac:dyDescent="0.2">
      <c r="B165" s="5" t="s">
        <v>213</v>
      </c>
      <c r="C165" s="5"/>
      <c r="D165" s="5"/>
      <c r="E165" s="5"/>
      <c r="F165" s="9"/>
      <c r="G165" s="9"/>
      <c r="H165" s="9"/>
      <c r="I165" s="9"/>
      <c r="J165" s="9"/>
      <c r="K165" s="28">
        <f>K163+K138*K164</f>
        <v>16166.652795</v>
      </c>
      <c r="L165" s="28">
        <f>L163+L138*L164</f>
        <v>19561.649881950001</v>
      </c>
      <c r="M165" s="28">
        <f>M163+M138*M164</f>
        <v>23473.979858340001</v>
      </c>
      <c r="N165" s="28">
        <f>N163+N138*N164</f>
        <v>27934.036031424599</v>
      </c>
      <c r="O165" s="28">
        <f>O163+O138*O164</f>
        <v>32962.162517081022</v>
      </c>
      <c r="Q165" s="35"/>
    </row>
    <row r="166" spans="2:17" x14ac:dyDescent="0.2">
      <c r="Q166" s="35"/>
    </row>
    <row r="167" spans="2:17" x14ac:dyDescent="0.2">
      <c r="B167" s="5" t="s">
        <v>214</v>
      </c>
      <c r="Q167" s="35"/>
    </row>
    <row r="168" spans="2:17" x14ac:dyDescent="0.2">
      <c r="B168" s="1" t="s">
        <v>215</v>
      </c>
      <c r="F168" s="8"/>
      <c r="G168" s="8"/>
      <c r="H168" s="8"/>
      <c r="I168" s="8"/>
      <c r="J168" s="8"/>
      <c r="K168" s="27">
        <f>J75</f>
        <v>12762.39</v>
      </c>
      <c r="L168" s="27">
        <f>K75</f>
        <v>16166.652795</v>
      </c>
      <c r="M168" s="27">
        <f>L75</f>
        <v>21345.093756511091</v>
      </c>
      <c r="N168" s="27">
        <f>M75</f>
        <v>23473.979858340001</v>
      </c>
      <c r="O168" s="27">
        <f>N75</f>
        <v>31355.070603752512</v>
      </c>
      <c r="Q168" s="35"/>
    </row>
    <row r="169" spans="2:17" x14ac:dyDescent="0.2">
      <c r="B169" s="1" t="s">
        <v>216</v>
      </c>
      <c r="F169" s="8"/>
      <c r="G169" s="8"/>
      <c r="H169" s="8"/>
      <c r="I169" s="8"/>
      <c r="J169" s="8"/>
      <c r="K169" s="27">
        <f>K57</f>
        <v>-48.286617923349695</v>
      </c>
      <c r="L169" s="27">
        <f>L57</f>
        <v>-5707.5616637540734</v>
      </c>
      <c r="M169" s="27">
        <f>M57</f>
        <v>-4618.1096439338507</v>
      </c>
      <c r="N169" s="27">
        <f>N57</f>
        <v>-3069.9419014607338</v>
      </c>
      <c r="O169" s="27">
        <f>O57</f>
        <v>-382.91975803774403</v>
      </c>
      <c r="Q169" s="35"/>
    </row>
    <row r="170" spans="2:17" x14ac:dyDescent="0.2">
      <c r="B170" s="1" t="s">
        <v>217</v>
      </c>
      <c r="F170" s="8"/>
      <c r="G170" s="8"/>
      <c r="H170" s="8"/>
      <c r="I170" s="8"/>
      <c r="J170" s="8"/>
      <c r="K170" s="27">
        <f>K61</f>
        <v>-840.13600000000008</v>
      </c>
      <c r="L170" s="27">
        <f>L61</f>
        <v>-924.14960000000019</v>
      </c>
      <c r="M170" s="27">
        <f>M61</f>
        <v>-1016.5645600000003</v>
      </c>
      <c r="N170" s="27">
        <f>N61</f>
        <v>-1118.2210160000004</v>
      </c>
      <c r="O170" s="27">
        <f>O61</f>
        <v>-1230.0431176000006</v>
      </c>
      <c r="Q170" s="35"/>
    </row>
    <row r="171" spans="2:17" x14ac:dyDescent="0.2">
      <c r="B171" s="1" t="s">
        <v>169</v>
      </c>
      <c r="F171" s="8"/>
      <c r="G171" s="8"/>
      <c r="H171" s="8"/>
      <c r="I171" s="8"/>
      <c r="J171" s="8"/>
      <c r="K171" s="27">
        <f>K64</f>
        <v>4394.4816000000064</v>
      </c>
      <c r="L171" s="27">
        <f>L64</f>
        <v>4921.8193920000049</v>
      </c>
      <c r="M171" s="27">
        <f>M64</f>
        <v>5512.4377190400046</v>
      </c>
      <c r="N171" s="27">
        <f>N64</f>
        <v>6173.9302453248092</v>
      </c>
      <c r="O171" s="27">
        <f>O64</f>
        <v>6914.8018747637834</v>
      </c>
      <c r="Q171" s="35"/>
    </row>
    <row r="172" spans="2:17" x14ac:dyDescent="0.2">
      <c r="B172" s="1" t="s">
        <v>171</v>
      </c>
      <c r="F172" s="8"/>
      <c r="G172" s="8"/>
      <c r="H172" s="8"/>
      <c r="I172" s="8"/>
      <c r="J172" s="8"/>
      <c r="K172" s="27">
        <f t="shared" ref="K172:O173" si="34">K66</f>
        <v>0</v>
      </c>
      <c r="L172" s="27">
        <f t="shared" si="34"/>
        <v>7500</v>
      </c>
      <c r="M172" s="27">
        <f t="shared" si="34"/>
        <v>0</v>
      </c>
      <c r="N172" s="27">
        <f t="shared" si="34"/>
        <v>10000</v>
      </c>
      <c r="O172" s="27">
        <f t="shared" si="34"/>
        <v>0</v>
      </c>
      <c r="Q172" s="35"/>
    </row>
    <row r="173" spans="2:17" x14ac:dyDescent="0.2">
      <c r="B173" s="1" t="s">
        <v>172</v>
      </c>
      <c r="F173" s="8"/>
      <c r="G173" s="8"/>
      <c r="H173" s="8"/>
      <c r="I173" s="8"/>
      <c r="J173" s="8"/>
      <c r="K173" s="27">
        <f t="shared" si="34"/>
        <v>-215.04250000000002</v>
      </c>
      <c r="L173" s="27">
        <f t="shared" si="34"/>
        <v>-498.4208538114969</v>
      </c>
      <c r="M173" s="27">
        <f t="shared" si="34"/>
        <v>-779.61590360188825</v>
      </c>
      <c r="N173" s="27">
        <f t="shared" si="34"/>
        <v>-1073.9380921269169</v>
      </c>
      <c r="O173" s="27">
        <f t="shared" si="34"/>
        <v>-1409.7526917880375</v>
      </c>
      <c r="Q173" s="35"/>
    </row>
    <row r="174" spans="2:17" x14ac:dyDescent="0.2">
      <c r="B174" s="1" t="s">
        <v>218</v>
      </c>
      <c r="F174" s="8"/>
      <c r="G174" s="8"/>
      <c r="H174" s="8"/>
      <c r="I174" s="8"/>
      <c r="J174" s="8"/>
      <c r="K174" s="27">
        <f>-K165</f>
        <v>-16166.652795</v>
      </c>
      <c r="L174" s="27">
        <f>-L165</f>
        <v>-19561.649881950001</v>
      </c>
      <c r="M174" s="27">
        <f>-M165</f>
        <v>-23473.979858340001</v>
      </c>
      <c r="N174" s="27">
        <f>-N165</f>
        <v>-27934.036031424599</v>
      </c>
      <c r="O174" s="27">
        <f>-O165</f>
        <v>-32962.162517081022</v>
      </c>
      <c r="Q174" s="35"/>
    </row>
    <row r="175" spans="2:17" x14ac:dyDescent="0.2">
      <c r="B175" s="5" t="s">
        <v>219</v>
      </c>
      <c r="C175" s="5"/>
      <c r="D175" s="5"/>
      <c r="E175" s="5"/>
      <c r="F175" s="10"/>
      <c r="G175" s="10"/>
      <c r="H175" s="10"/>
      <c r="I175" s="10"/>
      <c r="J175" s="10"/>
      <c r="K175" s="29">
        <f>SUM(K168:K174)</f>
        <v>-113.24631292334379</v>
      </c>
      <c r="L175" s="29">
        <f>SUM(L168:L174)</f>
        <v>1896.6901874844298</v>
      </c>
      <c r="M175" s="29">
        <f>SUM(M168:M174)</f>
        <v>-3030.7384903246457</v>
      </c>
      <c r="N175" s="29">
        <f>SUM(N168:N174)</f>
        <v>6451.773062652559</v>
      </c>
      <c r="O175" s="29">
        <f>SUM(O168:O174)</f>
        <v>2284.994394009489</v>
      </c>
      <c r="Q175" s="35"/>
    </row>
    <row r="176" spans="2:17" x14ac:dyDescent="0.2">
      <c r="Q176" s="35"/>
    </row>
    <row r="177" spans="2:17" x14ac:dyDescent="0.2">
      <c r="B177" s="5" t="s">
        <v>220</v>
      </c>
      <c r="Q177" s="35"/>
    </row>
    <row r="178" spans="2:17" x14ac:dyDescent="0.2">
      <c r="B178" s="1" t="s">
        <v>221</v>
      </c>
      <c r="F178" s="8"/>
      <c r="G178" s="8"/>
      <c r="H178" s="8"/>
      <c r="I178" s="8"/>
      <c r="J178" s="8"/>
      <c r="K178" s="27">
        <f>J180</f>
        <v>0</v>
      </c>
      <c r="L178" s="27">
        <f>K180</f>
        <v>113.24631292334379</v>
      </c>
      <c r="M178" s="27">
        <f>L180</f>
        <v>0</v>
      </c>
      <c r="N178" s="27">
        <f>M180</f>
        <v>3030.7384903246457</v>
      </c>
      <c r="O178" s="27">
        <f>N180</f>
        <v>0</v>
      </c>
      <c r="Q178" s="35"/>
    </row>
    <row r="179" spans="2:17" x14ac:dyDescent="0.2">
      <c r="B179" s="1" t="s">
        <v>222</v>
      </c>
      <c r="D179" s="35"/>
      <c r="F179" s="8"/>
      <c r="G179" s="8"/>
      <c r="H179" s="8"/>
      <c r="I179" s="8"/>
      <c r="J179" s="8"/>
      <c r="K179" s="27">
        <f>MAX(-K175,-K178)</f>
        <v>113.24631292334379</v>
      </c>
      <c r="L179" s="27">
        <f>MAX(-L175,-L178)</f>
        <v>-113.24631292334379</v>
      </c>
      <c r="M179" s="27">
        <f>MAX(-M175,-M178)</f>
        <v>3030.7384903246457</v>
      </c>
      <c r="N179" s="27">
        <f>MAX(-N175,-N178)</f>
        <v>-3030.7384903246457</v>
      </c>
      <c r="O179" s="27">
        <f>MAX(-O175,-O178)</f>
        <v>0</v>
      </c>
      <c r="Q179" s="35" t="s">
        <v>283</v>
      </c>
    </row>
    <row r="180" spans="2:17" x14ac:dyDescent="0.2">
      <c r="B180" s="5" t="s">
        <v>223</v>
      </c>
      <c r="C180" s="5"/>
      <c r="D180" s="5"/>
      <c r="E180" s="5"/>
      <c r="F180" s="48">
        <v>0</v>
      </c>
      <c r="G180" s="48">
        <v>0</v>
      </c>
      <c r="H180" s="48">
        <v>0</v>
      </c>
      <c r="I180" s="48">
        <v>0</v>
      </c>
      <c r="J180" s="48">
        <v>0</v>
      </c>
      <c r="K180" s="29">
        <f>K178+K179</f>
        <v>113.24631292334379</v>
      </c>
      <c r="L180" s="29">
        <f>L178+L179</f>
        <v>0</v>
      </c>
      <c r="M180" s="29">
        <f>M178+M179</f>
        <v>3030.7384903246457</v>
      </c>
      <c r="N180" s="29">
        <f>N178+N179</f>
        <v>0</v>
      </c>
      <c r="O180" s="29">
        <f>O178+O179</f>
        <v>0</v>
      </c>
      <c r="Q180" s="35"/>
    </row>
    <row r="181" spans="2:17" x14ac:dyDescent="0.2">
      <c r="Q181" s="35"/>
    </row>
    <row r="182" spans="2:17" x14ac:dyDescent="0.2">
      <c r="Q182" s="35"/>
    </row>
    <row r="183" spans="2:17" ht="20" x14ac:dyDescent="0.25">
      <c r="B183" s="150" t="s">
        <v>224</v>
      </c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Q183" s="35"/>
    </row>
    <row r="184" spans="2:17" x14ac:dyDescent="0.2">
      <c r="Q184" s="35"/>
    </row>
    <row r="185" spans="2:17" ht="17" thickBot="1" x14ac:dyDescent="0.25">
      <c r="B185" s="3" t="s">
        <v>58</v>
      </c>
      <c r="F185" s="4">
        <f t="shared" ref="F185:O185" si="35">F$5</f>
        <v>2022</v>
      </c>
      <c r="G185" s="4">
        <f t="shared" si="35"/>
        <v>2023</v>
      </c>
      <c r="H185" s="4">
        <f t="shared" si="35"/>
        <v>2024</v>
      </c>
      <c r="I185" s="4">
        <f t="shared" si="35"/>
        <v>2025</v>
      </c>
      <c r="J185" s="4">
        <f t="shared" si="35"/>
        <v>2026</v>
      </c>
      <c r="K185" s="16">
        <f t="shared" si="35"/>
        <v>2027</v>
      </c>
      <c r="L185" s="16">
        <f t="shared" si="35"/>
        <v>2028</v>
      </c>
      <c r="M185" s="16">
        <f t="shared" si="35"/>
        <v>2029</v>
      </c>
      <c r="N185" s="16">
        <f t="shared" si="35"/>
        <v>2030</v>
      </c>
      <c r="O185" s="16">
        <f t="shared" si="35"/>
        <v>2031</v>
      </c>
      <c r="Q185" s="35"/>
    </row>
    <row r="186" spans="2:17" x14ac:dyDescent="0.2">
      <c r="B186" s="3" t="str">
        <f>B$6</f>
        <v>Model Running: Base Case Drivers</v>
      </c>
      <c r="Q186" s="35"/>
    </row>
    <row r="187" spans="2:17" x14ac:dyDescent="0.2">
      <c r="Q187" s="35"/>
    </row>
    <row r="188" spans="2:17" x14ac:dyDescent="0.2">
      <c r="B188" s="5" t="s">
        <v>225</v>
      </c>
      <c r="Q188" s="35"/>
    </row>
    <row r="189" spans="2:17" x14ac:dyDescent="0.2">
      <c r="B189" s="1" t="s">
        <v>226</v>
      </c>
      <c r="F189" s="24"/>
      <c r="G189" s="31">
        <f>G9/G116</f>
        <v>0.14210431632465403</v>
      </c>
      <c r="H189" s="31">
        <f>H9/H116</f>
        <v>0.14963550873315357</v>
      </c>
      <c r="I189" s="31">
        <f>I9/I116</f>
        <v>0.14418595625161179</v>
      </c>
      <c r="J189" s="31">
        <f>J9/J116</f>
        <v>0.13319735753119946</v>
      </c>
      <c r="K189" s="47">
        <f>Inputs!K23</f>
        <v>0.13100000000000001</v>
      </c>
      <c r="L189" s="47">
        <f>Inputs!L23</f>
        <v>0.13</v>
      </c>
      <c r="M189" s="47">
        <f>Inputs!M23</f>
        <v>0.129</v>
      </c>
      <c r="N189" s="47">
        <f>Inputs!N23</f>
        <v>0.128</v>
      </c>
      <c r="O189" s="47">
        <f>Inputs!O23</f>
        <v>0.128</v>
      </c>
      <c r="Q189" s="35"/>
    </row>
    <row r="190" spans="2:17" x14ac:dyDescent="0.2">
      <c r="B190" s="1" t="s">
        <v>139</v>
      </c>
      <c r="F190" s="27">
        <f>F9</f>
        <v>14174.01</v>
      </c>
      <c r="G190" s="27">
        <f>G9</f>
        <v>19159.38</v>
      </c>
      <c r="H190" s="27">
        <f>H9</f>
        <v>25915.89</v>
      </c>
      <c r="I190" s="27">
        <f>I9</f>
        <v>30834.52</v>
      </c>
      <c r="J190" s="27">
        <f>J9</f>
        <v>34198.629999999997</v>
      </c>
      <c r="K190" s="27">
        <f>K189*K116</f>
        <v>40404.285459999999</v>
      </c>
      <c r="L190" s="27">
        <f>L189*L116</f>
        <v>48115.026959999996</v>
      </c>
      <c r="M190" s="27">
        <f>M189*M116</f>
        <v>57033.466852319994</v>
      </c>
      <c r="N190" s="27">
        <f>N189*N116</f>
        <v>67036.19738296319</v>
      </c>
      <c r="O190" s="27">
        <f>O189*O116</f>
        <v>78739.856430649335</v>
      </c>
      <c r="Q190" s="35"/>
    </row>
    <row r="191" spans="2:17" x14ac:dyDescent="0.2">
      <c r="B191" s="1" t="s">
        <v>227</v>
      </c>
      <c r="F191" s="24"/>
      <c r="G191" s="31">
        <f>G10/G159</f>
        <v>6.0263792530120007E-2</v>
      </c>
      <c r="H191" s="31">
        <f>H10/H159</f>
        <v>6.062829363559652E-2</v>
      </c>
      <c r="I191" s="31">
        <f>I10/I159</f>
        <v>6.8423469420253041E-2</v>
      </c>
      <c r="J191" s="31">
        <f>J10/J159</f>
        <v>7.138933069885206E-2</v>
      </c>
      <c r="K191" s="47">
        <f>Inputs!K50</f>
        <v>7.0000000000000007E-2</v>
      </c>
      <c r="L191" s="47">
        <f>Inputs!L50</f>
        <v>7.0000000000000007E-2</v>
      </c>
      <c r="M191" s="47">
        <f>Inputs!M50</f>
        <v>6.9000000000000006E-2</v>
      </c>
      <c r="N191" s="47">
        <f>Inputs!N50</f>
        <v>6.9000000000000006E-2</v>
      </c>
      <c r="O191" s="47">
        <f>Inputs!O50</f>
        <v>6.9000000000000006E-2</v>
      </c>
      <c r="Q191" s="35"/>
    </row>
    <row r="192" spans="2:17" x14ac:dyDescent="0.2">
      <c r="B192" s="1" t="s">
        <v>8</v>
      </c>
      <c r="F192" s="27">
        <f>F10</f>
        <v>2615.37</v>
      </c>
      <c r="G192" s="27">
        <f>G10</f>
        <v>3232.2</v>
      </c>
      <c r="H192" s="27">
        <f>H10</f>
        <v>4117.6899999999996</v>
      </c>
      <c r="I192" s="27">
        <f>I10</f>
        <v>5317.39</v>
      </c>
      <c r="J192" s="27">
        <f>J10</f>
        <v>5949.65</v>
      </c>
      <c r="K192" s="27">
        <f>K191*K159</f>
        <v>6529.5564698000017</v>
      </c>
      <c r="L192" s="27">
        <f>L191*L159</f>
        <v>7780.8303607580019</v>
      </c>
      <c r="M192" s="27">
        <f>M191*M159</f>
        <v>9238.3151842489224</v>
      </c>
      <c r="N192" s="27">
        <f>N191*N159</f>
        <v>11035.587411002803</v>
      </c>
      <c r="O192" s="27">
        <f>O191*O159</f>
        <v>13072.383955079209</v>
      </c>
      <c r="Q192" s="35"/>
    </row>
    <row r="193" spans="2:17" x14ac:dyDescent="0.2">
      <c r="B193" s="1" t="s">
        <v>91</v>
      </c>
      <c r="F193" s="31">
        <f>F11/F73</f>
        <v>4.1394268221954543E-2</v>
      </c>
      <c r="G193" s="31">
        <f>G11/G73</f>
        <v>9.4155887424157148E-3</v>
      </c>
      <c r="H193" s="31">
        <f>H11/H73</f>
        <v>6.7376794867735987E-3</v>
      </c>
      <c r="I193" s="31">
        <f>I11/I73</f>
        <v>9.1785314509932135E-3</v>
      </c>
      <c r="J193" s="31">
        <f>J11/J73</f>
        <v>8.6743642597116311E-3</v>
      </c>
      <c r="K193" s="47">
        <f>Inputs!K51</f>
        <v>8.9999999999999993E-3</v>
      </c>
      <c r="L193" s="47">
        <f>Inputs!L51</f>
        <v>8.9999999999999993E-3</v>
      </c>
      <c r="M193" s="47">
        <f>Inputs!M51</f>
        <v>8.9999999999999993E-3</v>
      </c>
      <c r="N193" s="47">
        <f>Inputs!N51</f>
        <v>8.9999999999999993E-3</v>
      </c>
      <c r="O193" s="47">
        <f>Inputs!O51</f>
        <v>8.9999999999999993E-3</v>
      </c>
      <c r="Q193" s="35"/>
    </row>
    <row r="194" spans="2:17" x14ac:dyDescent="0.2">
      <c r="B194" s="1" t="s">
        <v>140</v>
      </c>
      <c r="F194" s="27">
        <f>F11</f>
        <v>241.24</v>
      </c>
      <c r="G194" s="27">
        <f>G11</f>
        <v>148.37</v>
      </c>
      <c r="H194" s="27">
        <f>H11</f>
        <v>93.64</v>
      </c>
      <c r="I194" s="27">
        <f>I11</f>
        <v>114.55</v>
      </c>
      <c r="J194" s="27">
        <f>J11</f>
        <v>130.96</v>
      </c>
      <c r="K194" s="27">
        <f>K193*K73</f>
        <v>114.86150999999998</v>
      </c>
      <c r="L194" s="27">
        <f>L193*L73</f>
        <v>145.49987515499998</v>
      </c>
      <c r="M194" s="27">
        <f>M193*M73</f>
        <v>192.10584380859981</v>
      </c>
      <c r="N194" s="27">
        <f>N193*N73</f>
        <v>211.26581872506</v>
      </c>
      <c r="O194" s="27">
        <f>O193*O73</f>
        <v>282.19563543377257</v>
      </c>
      <c r="Q194" s="35"/>
    </row>
    <row r="195" spans="2:17" x14ac:dyDescent="0.2">
      <c r="B195" s="1" t="s">
        <v>228</v>
      </c>
      <c r="F195" s="24"/>
      <c r="G195" s="31">
        <f>G12/G116</f>
        <v>1.3913471468983783E-3</v>
      </c>
      <c r="H195" s="31">
        <f>H12/H116</f>
        <v>1.1275253192311833E-3</v>
      </c>
      <c r="I195" s="31">
        <f>I12/I116</f>
        <v>1.0990287929831994E-3</v>
      </c>
      <c r="J195" s="31">
        <f>J12/J116</f>
        <v>1.0499643887272897E-3</v>
      </c>
      <c r="K195" s="47">
        <f>Inputs!K52</f>
        <v>1E-3</v>
      </c>
      <c r="L195" s="47">
        <f>Inputs!L52</f>
        <v>1E-3</v>
      </c>
      <c r="M195" s="47">
        <f>Inputs!M52</f>
        <v>1E-3</v>
      </c>
      <c r="N195" s="47">
        <f>Inputs!N52</f>
        <v>1E-3</v>
      </c>
      <c r="O195" s="47">
        <f>Inputs!O52</f>
        <v>1E-3</v>
      </c>
      <c r="Q195" s="35"/>
    </row>
    <row r="196" spans="2:17" x14ac:dyDescent="0.2">
      <c r="B196" s="1" t="s">
        <v>10</v>
      </c>
      <c r="F196" s="27">
        <f>F12</f>
        <v>142.06</v>
      </c>
      <c r="G196" s="27">
        <f>G12</f>
        <v>187.59</v>
      </c>
      <c r="H196" s="27">
        <f>H12</f>
        <v>195.28</v>
      </c>
      <c r="I196" s="27">
        <f>I12</f>
        <v>235.03</v>
      </c>
      <c r="J196" s="27">
        <f>J12</f>
        <v>269.58</v>
      </c>
      <c r="K196" s="27">
        <f>K195*K116</f>
        <v>308.42965999999996</v>
      </c>
      <c r="L196" s="27">
        <f>L195*L116</f>
        <v>370.11559199999994</v>
      </c>
      <c r="M196" s="27">
        <f>M195*M116</f>
        <v>442.11989807999998</v>
      </c>
      <c r="N196" s="27">
        <f>N195*N116</f>
        <v>523.72029205439992</v>
      </c>
      <c r="O196" s="27">
        <f>O195*O116</f>
        <v>615.15512836444793</v>
      </c>
      <c r="Q196" s="35"/>
    </row>
    <row r="197" spans="2:17" x14ac:dyDescent="0.2">
      <c r="Q197" s="35"/>
    </row>
    <row r="198" spans="2:17" x14ac:dyDescent="0.2">
      <c r="B198" s="5" t="s">
        <v>229</v>
      </c>
      <c r="Q198" s="35"/>
    </row>
    <row r="199" spans="2:17" x14ac:dyDescent="0.2">
      <c r="B199" s="1" t="s">
        <v>95</v>
      </c>
      <c r="F199" s="24"/>
      <c r="G199" s="24"/>
      <c r="H199" s="24"/>
      <c r="I199" s="24"/>
      <c r="J199" s="24"/>
      <c r="K199" s="47">
        <f>Inputs!K53</f>
        <v>4.4999999999999998E-2</v>
      </c>
      <c r="L199" s="47">
        <f>Inputs!L53</f>
        <v>4.4999999999999998E-2</v>
      </c>
      <c r="M199" s="47">
        <f>Inputs!M53</f>
        <v>4.4999999999999998E-2</v>
      </c>
      <c r="N199" s="47">
        <f>Inputs!N53</f>
        <v>4.4999999999999998E-2</v>
      </c>
      <c r="O199" s="47">
        <f>Inputs!O53</f>
        <v>4.4999999999999998E-2</v>
      </c>
      <c r="Q199" s="35"/>
    </row>
    <row r="200" spans="2:17" x14ac:dyDescent="0.2">
      <c r="B200" s="1" t="s">
        <v>97</v>
      </c>
      <c r="F200" s="24"/>
      <c r="G200" s="24"/>
      <c r="H200" s="24"/>
      <c r="I200" s="24"/>
      <c r="J200" s="24"/>
      <c r="K200" s="47">
        <f>Inputs!K54</f>
        <v>7.0999999999999994E-2</v>
      </c>
      <c r="L200" s="47">
        <f>Inputs!L54</f>
        <v>7.0000000000000007E-2</v>
      </c>
      <c r="M200" s="47">
        <f>Inputs!M54</f>
        <v>7.0000000000000007E-2</v>
      </c>
      <c r="N200" s="47">
        <f>Inputs!N54</f>
        <v>7.0000000000000007E-2</v>
      </c>
      <c r="O200" s="47">
        <f>Inputs!O54</f>
        <v>7.0000000000000007E-2</v>
      </c>
      <c r="Q200" s="35"/>
    </row>
    <row r="201" spans="2:17" x14ac:dyDescent="0.2">
      <c r="B201" s="1" t="s">
        <v>230</v>
      </c>
      <c r="F201" s="24"/>
      <c r="G201" s="24"/>
      <c r="H201" s="24"/>
      <c r="I201" s="24"/>
      <c r="J201" s="24"/>
      <c r="K201" s="31">
        <f>K139*K199+(1-K139)*K200</f>
        <v>5.7999999999999996E-2</v>
      </c>
      <c r="L201" s="31">
        <f>L139*L199+(1-L139)*L200</f>
        <v>5.7374999999999995E-2</v>
      </c>
      <c r="M201" s="31">
        <f>M139*M199+(1-M139)*M200</f>
        <v>5.7250000000000002E-2</v>
      </c>
      <c r="N201" s="31">
        <f>N139*N199+(1-N139)*N200</f>
        <v>5.7125000000000002E-2</v>
      </c>
      <c r="O201" s="31">
        <f>O139*O199+(1-O139)*O200</f>
        <v>5.7000000000000009E-2</v>
      </c>
      <c r="Q201" s="35"/>
    </row>
    <row r="202" spans="2:17" x14ac:dyDescent="0.2">
      <c r="B202" s="1" t="s">
        <v>231</v>
      </c>
      <c r="F202" s="8"/>
      <c r="G202" s="8"/>
      <c r="H202" s="8"/>
      <c r="I202" s="8"/>
      <c r="J202" s="8"/>
      <c r="K202" s="27">
        <f>K201*K142</f>
        <v>18958.271528999998</v>
      </c>
      <c r="L202" s="27">
        <f>L201*L142</f>
        <v>22776.792956555622</v>
      </c>
      <c r="M202" s="27">
        <f>M201*M142</f>
        <v>27375.442251462253</v>
      </c>
      <c r="N202" s="27">
        <f>N201*N142</f>
        <v>32629.810085586694</v>
      </c>
      <c r="O202" s="27">
        <f>O201*O142</f>
        <v>38567.592414053564</v>
      </c>
      <c r="Q202" s="35"/>
    </row>
    <row r="203" spans="2:17" x14ac:dyDescent="0.2">
      <c r="B203" s="1" t="s">
        <v>232</v>
      </c>
      <c r="F203" s="24"/>
      <c r="G203" s="24"/>
      <c r="H203" s="24"/>
      <c r="I203" s="24"/>
      <c r="J203" s="24"/>
      <c r="K203" s="47">
        <f>Inputs!K55</f>
        <v>7.4999999999999997E-2</v>
      </c>
      <c r="L203" s="47">
        <f>Inputs!L55</f>
        <v>7.4999999999999997E-2</v>
      </c>
      <c r="M203" s="47">
        <f>Inputs!M55</f>
        <v>7.4999999999999997E-2</v>
      </c>
      <c r="N203" s="47">
        <f>Inputs!N55</f>
        <v>7.4999999999999997E-2</v>
      </c>
      <c r="O203" s="47">
        <f>Inputs!O55</f>
        <v>7.4999999999999997E-2</v>
      </c>
      <c r="Q203" s="35"/>
    </row>
    <row r="204" spans="2:17" x14ac:dyDescent="0.2">
      <c r="B204" s="1" t="s">
        <v>233</v>
      </c>
      <c r="F204" s="8"/>
      <c r="G204" s="8"/>
      <c r="H204" s="8"/>
      <c r="I204" s="8"/>
      <c r="J204" s="8"/>
      <c r="K204" s="27">
        <f>K203*K148</f>
        <v>2911.3440600000004</v>
      </c>
      <c r="L204" s="27">
        <f>L203*L148</f>
        <v>3260.7053472000007</v>
      </c>
      <c r="M204" s="27">
        <f>M203*M148</f>
        <v>3651.9899888640007</v>
      </c>
      <c r="N204" s="27">
        <f>N203*N148</f>
        <v>4090.2287875276816</v>
      </c>
      <c r="O204" s="27">
        <f>O203*O148</f>
        <v>4581.0562420310034</v>
      </c>
      <c r="Q204" s="35"/>
    </row>
    <row r="205" spans="2:17" x14ac:dyDescent="0.2">
      <c r="B205" s="1" t="s">
        <v>234</v>
      </c>
      <c r="F205" s="24"/>
      <c r="G205" s="24"/>
      <c r="H205" s="24"/>
      <c r="I205" s="24"/>
      <c r="J205" s="24"/>
      <c r="K205" s="47">
        <f>K203+Inputs!K56</f>
        <v>0.08</v>
      </c>
      <c r="L205" s="47">
        <f>L203+Inputs!L56</f>
        <v>0.08</v>
      </c>
      <c r="M205" s="47">
        <f>M203+Inputs!M56</f>
        <v>0.08</v>
      </c>
      <c r="N205" s="47">
        <f>N203+Inputs!N56</f>
        <v>0.08</v>
      </c>
      <c r="O205" s="47">
        <f>O203+Inputs!O56</f>
        <v>0.08</v>
      </c>
      <c r="Q205" s="35"/>
    </row>
    <row r="206" spans="2:17" x14ac:dyDescent="0.2">
      <c r="B206" s="1" t="s">
        <v>235</v>
      </c>
      <c r="F206" s="8"/>
      <c r="G206" s="8"/>
      <c r="H206" s="8"/>
      <c r="I206" s="8"/>
      <c r="J206" s="8"/>
      <c r="K206" s="27">
        <f>K205*K178</f>
        <v>0</v>
      </c>
      <c r="L206" s="27">
        <f>L205*L178</f>
        <v>9.0597050338675036</v>
      </c>
      <c r="M206" s="27">
        <f>M205*M178</f>
        <v>0</v>
      </c>
      <c r="N206" s="27">
        <f>N205*N178</f>
        <v>242.45907922597166</v>
      </c>
      <c r="O206" s="27">
        <f>O205*O178</f>
        <v>0</v>
      </c>
      <c r="Q206" s="35"/>
    </row>
    <row r="207" spans="2:17" x14ac:dyDescent="0.2">
      <c r="B207" s="5" t="s">
        <v>236</v>
      </c>
      <c r="C207" s="5"/>
      <c r="D207" s="5"/>
      <c r="E207" s="5"/>
      <c r="F207" s="29">
        <f>-F15</f>
        <v>7466.52</v>
      </c>
      <c r="G207" s="29">
        <f>-G15</f>
        <v>10092.209999999999</v>
      </c>
      <c r="H207" s="29">
        <f>-H15</f>
        <v>13871.75</v>
      </c>
      <c r="I207" s="29">
        <f>-I15</f>
        <v>17209.52</v>
      </c>
      <c r="J207" s="29">
        <f>-J15</f>
        <v>19333.55</v>
      </c>
      <c r="K207" s="29">
        <f>K202+K204+K206</f>
        <v>21869.615588999997</v>
      </c>
      <c r="L207" s="29">
        <f>L202+L204+L206</f>
        <v>26046.558008789492</v>
      </c>
      <c r="M207" s="29">
        <f>M202+M204+M206</f>
        <v>31027.432240326252</v>
      </c>
      <c r="N207" s="29">
        <f>N202+N204+N206</f>
        <v>36962.497952340345</v>
      </c>
      <c r="O207" s="29">
        <f>O202+O204+O206</f>
        <v>43148.648656084566</v>
      </c>
      <c r="Q207" s="35"/>
    </row>
    <row r="208" spans="2:17" x14ac:dyDescent="0.2">
      <c r="Q208" s="35"/>
    </row>
    <row r="209" spans="2:17" x14ac:dyDescent="0.2">
      <c r="B209" s="1" t="s">
        <v>237</v>
      </c>
      <c r="F209" s="27">
        <f t="shared" ref="F209:O209" si="36">F84+F85+F86+F87</f>
        <v>179760.55</v>
      </c>
      <c r="G209" s="27">
        <f t="shared" si="36"/>
        <v>226816.04</v>
      </c>
      <c r="H209" s="27">
        <f t="shared" si="36"/>
        <v>281782.96999999997</v>
      </c>
      <c r="I209" s="27">
        <f t="shared" si="36"/>
        <v>328925.41000000003</v>
      </c>
      <c r="J209" s="27">
        <f t="shared" si="36"/>
        <v>379119.24</v>
      </c>
      <c r="K209" s="27">
        <f t="shared" si="36"/>
        <v>453227.879075</v>
      </c>
      <c r="L209" s="27">
        <f t="shared" si="36"/>
        <v>546824.49035531108</v>
      </c>
      <c r="M209" s="27">
        <f t="shared" si="36"/>
        <v>650011.63113689993</v>
      </c>
      <c r="N209" s="27">
        <f t="shared" si="36"/>
        <v>772130.10230363882</v>
      </c>
      <c r="O209" s="27">
        <f t="shared" si="36"/>
        <v>903692.06179746834</v>
      </c>
      <c r="Q209" s="35"/>
    </row>
    <row r="210" spans="2:17" x14ac:dyDescent="0.2">
      <c r="B210" s="1" t="s">
        <v>238</v>
      </c>
      <c r="F210" s="8"/>
      <c r="G210" s="27">
        <f t="shared" ref="G210:O210" si="37">AVERAGE(F209:G209)</f>
        <v>203288.29499999998</v>
      </c>
      <c r="H210" s="27">
        <f t="shared" si="37"/>
        <v>254299.505</v>
      </c>
      <c r="I210" s="27">
        <f t="shared" si="37"/>
        <v>305354.19</v>
      </c>
      <c r="J210" s="27">
        <f t="shared" si="37"/>
        <v>354022.32500000001</v>
      </c>
      <c r="K210" s="27">
        <f t="shared" si="37"/>
        <v>416173.55953750003</v>
      </c>
      <c r="L210" s="27">
        <f t="shared" si="37"/>
        <v>500026.18471515551</v>
      </c>
      <c r="M210" s="27">
        <f t="shared" si="37"/>
        <v>598418.0607461055</v>
      </c>
      <c r="N210" s="27">
        <f t="shared" si="37"/>
        <v>711070.86672026943</v>
      </c>
      <c r="O210" s="27">
        <f t="shared" si="37"/>
        <v>837911.08205055352</v>
      </c>
      <c r="Q210" s="35"/>
    </row>
    <row r="211" spans="2:17" x14ac:dyDescent="0.2">
      <c r="Q211" s="35"/>
    </row>
    <row r="212" spans="2:17" x14ac:dyDescent="0.2">
      <c r="Q212" s="35"/>
    </row>
    <row r="213" spans="2:17" ht="20" x14ac:dyDescent="0.25">
      <c r="B213" s="150" t="s">
        <v>239</v>
      </c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Q213" s="35"/>
    </row>
    <row r="214" spans="2:17" x14ac:dyDescent="0.2">
      <c r="Q214" s="35"/>
    </row>
    <row r="215" spans="2:17" ht="17" thickBot="1" x14ac:dyDescent="0.25">
      <c r="B215" s="3" t="s">
        <v>58</v>
      </c>
      <c r="F215" s="4">
        <f t="shared" ref="F215:O215" si="38">F$5</f>
        <v>2022</v>
      </c>
      <c r="G215" s="4">
        <f t="shared" si="38"/>
        <v>2023</v>
      </c>
      <c r="H215" s="4">
        <f t="shared" si="38"/>
        <v>2024</v>
      </c>
      <c r="I215" s="4">
        <f t="shared" si="38"/>
        <v>2025</v>
      </c>
      <c r="J215" s="4">
        <f t="shared" si="38"/>
        <v>2026</v>
      </c>
      <c r="K215" s="16">
        <f t="shared" si="38"/>
        <v>2027</v>
      </c>
      <c r="L215" s="16">
        <f t="shared" si="38"/>
        <v>2028</v>
      </c>
      <c r="M215" s="16">
        <f t="shared" si="38"/>
        <v>2029</v>
      </c>
      <c r="N215" s="16">
        <f t="shared" si="38"/>
        <v>2030</v>
      </c>
      <c r="O215" s="16">
        <f t="shared" si="38"/>
        <v>2031</v>
      </c>
      <c r="Q215" s="35"/>
    </row>
    <row r="216" spans="2:17" x14ac:dyDescent="0.2">
      <c r="B216" s="3" t="str">
        <f>B$6</f>
        <v>Model Running: Base Case Drivers</v>
      </c>
      <c r="Q216" s="35"/>
    </row>
    <row r="217" spans="2:17" x14ac:dyDescent="0.2">
      <c r="Q217" s="35"/>
    </row>
    <row r="218" spans="2:17" x14ac:dyDescent="0.2">
      <c r="B218" s="5" t="s">
        <v>240</v>
      </c>
      <c r="Q218" s="35"/>
    </row>
    <row r="219" spans="2:17" x14ac:dyDescent="0.2">
      <c r="B219" s="1" t="s">
        <v>104</v>
      </c>
      <c r="F219" s="23"/>
      <c r="G219" s="32">
        <f>G220/F220-1</f>
        <v>0.38637943663020957</v>
      </c>
      <c r="H219" s="32">
        <f>H220/G220-1</f>
        <v>0.34364009608302704</v>
      </c>
      <c r="I219" s="32">
        <f>I220/H220-1</f>
        <v>0.16989503498833725</v>
      </c>
      <c r="J219" s="32">
        <f>J220/I220-1</f>
        <v>0.12127815019418353</v>
      </c>
      <c r="K219" s="46">
        <f>Inputs!K59</f>
        <v>0.18</v>
      </c>
      <c r="L219" s="46">
        <f>Inputs!L59</f>
        <v>0.17</v>
      </c>
      <c r="M219" s="46">
        <f>Inputs!M59</f>
        <v>0.16</v>
      </c>
      <c r="N219" s="46">
        <f>Inputs!N59</f>
        <v>0.15</v>
      </c>
      <c r="O219" s="46">
        <f>Inputs!O59</f>
        <v>0.15</v>
      </c>
      <c r="Q219" s="35"/>
    </row>
    <row r="220" spans="2:17" x14ac:dyDescent="0.2">
      <c r="B220" s="5" t="s">
        <v>12</v>
      </c>
      <c r="C220" s="5"/>
      <c r="D220" s="5"/>
      <c r="E220" s="5"/>
      <c r="F220" s="28">
        <f>F18</f>
        <v>3222.04</v>
      </c>
      <c r="G220" s="28">
        <f>G18</f>
        <v>4466.97</v>
      </c>
      <c r="H220" s="28">
        <f>H18</f>
        <v>6002</v>
      </c>
      <c r="I220" s="28">
        <f>I18</f>
        <v>7021.71</v>
      </c>
      <c r="J220" s="28">
        <f>J18</f>
        <v>7873.29</v>
      </c>
      <c r="K220" s="28">
        <f>J220*(1+K219)</f>
        <v>9290.4822000000004</v>
      </c>
      <c r="L220" s="28">
        <f>K220*(1+L219)</f>
        <v>10869.864174</v>
      </c>
      <c r="M220" s="28">
        <f>L220*(1+M219)</f>
        <v>12609.04244184</v>
      </c>
      <c r="N220" s="28">
        <f>M220*(1+N219)</f>
        <v>14500.398808115999</v>
      </c>
      <c r="O220" s="28">
        <f>N220*(1+O219)</f>
        <v>16675.458629333396</v>
      </c>
      <c r="Q220" s="35"/>
    </row>
    <row r="221" spans="2:17" x14ac:dyDescent="0.2">
      <c r="Q221" s="35"/>
    </row>
    <row r="222" spans="2:17" x14ac:dyDescent="0.2">
      <c r="B222" s="5" t="s">
        <v>241</v>
      </c>
      <c r="Q222" s="35"/>
    </row>
    <row r="223" spans="2:17" x14ac:dyDescent="0.2">
      <c r="B223" s="1" t="s">
        <v>106</v>
      </c>
      <c r="F223" s="23"/>
      <c r="G223" s="32">
        <f>G224/F224-1</f>
        <v>0.38778953770387248</v>
      </c>
      <c r="H223" s="32">
        <f>H224/G224-1</f>
        <v>0.30738356541420475</v>
      </c>
      <c r="I223" s="32">
        <f>I224/H224-1</f>
        <v>0.16706489280597148</v>
      </c>
      <c r="J223" s="32">
        <f>J224/I224-1</f>
        <v>8.2668698225888404E-2</v>
      </c>
      <c r="K223" s="46">
        <f>Inputs!K60</f>
        <v>0.14000000000000001</v>
      </c>
      <c r="L223" s="46">
        <f>Inputs!L60</f>
        <v>0.13</v>
      </c>
      <c r="M223" s="46">
        <f>Inputs!M60</f>
        <v>0.13</v>
      </c>
      <c r="N223" s="46">
        <f>Inputs!N60</f>
        <v>0.12</v>
      </c>
      <c r="O223" s="46">
        <f>Inputs!O60</f>
        <v>0.12</v>
      </c>
      <c r="Q223" s="35"/>
    </row>
    <row r="224" spans="2:17" x14ac:dyDescent="0.2">
      <c r="B224" s="1" t="s">
        <v>14</v>
      </c>
      <c r="F224" s="27">
        <f>-F21</f>
        <v>2696.54</v>
      </c>
      <c r="G224" s="27">
        <f>-G21</f>
        <v>3742.23</v>
      </c>
      <c r="H224" s="27">
        <f>-H21</f>
        <v>4892.53</v>
      </c>
      <c r="I224" s="27">
        <f>-I21</f>
        <v>5709.9</v>
      </c>
      <c r="J224" s="27">
        <f>-J21</f>
        <v>6181.93</v>
      </c>
      <c r="K224" s="27">
        <f>J224*(1+K223)</f>
        <v>7047.400200000001</v>
      </c>
      <c r="L224" s="27">
        <f>K224*(1+L223)</f>
        <v>7963.562226</v>
      </c>
      <c r="M224" s="27">
        <f>L224*(1+M223)</f>
        <v>8998.8253153799997</v>
      </c>
      <c r="N224" s="27">
        <f>M224*(1+N223)</f>
        <v>10078.684353225601</v>
      </c>
      <c r="O224" s="27">
        <f>N224*(1+O223)</f>
        <v>11288.126475612675</v>
      </c>
      <c r="Q224" s="35"/>
    </row>
    <row r="225" spans="2:17" x14ac:dyDescent="0.2">
      <c r="B225" s="1" t="s">
        <v>108</v>
      </c>
      <c r="F225" s="23"/>
      <c r="G225" s="32">
        <f>G226/F226-1</f>
        <v>0.21304392256088533</v>
      </c>
      <c r="H225" s="32">
        <f>H226/G226-1</f>
        <v>0.3435083980769138</v>
      </c>
      <c r="I225" s="32">
        <f>I226/H226-1</f>
        <v>0.16476541628949293</v>
      </c>
      <c r="J225" s="32">
        <f>J226/I226-1</f>
        <v>0.19003361152117715</v>
      </c>
      <c r="K225" s="46">
        <f>Inputs!K61</f>
        <v>0.14000000000000001</v>
      </c>
      <c r="L225" s="46">
        <f>Inputs!L61</f>
        <v>0.13</v>
      </c>
      <c r="M225" s="46">
        <f>Inputs!M61</f>
        <v>0.13</v>
      </c>
      <c r="N225" s="46">
        <f>Inputs!N61</f>
        <v>0.12</v>
      </c>
      <c r="O225" s="46">
        <f>Inputs!O61</f>
        <v>0.12</v>
      </c>
      <c r="Q225" s="35"/>
    </row>
    <row r="226" spans="2:17" x14ac:dyDescent="0.2">
      <c r="B226" s="1" t="s">
        <v>144</v>
      </c>
      <c r="F226" s="27">
        <f>-F22</f>
        <v>6947.91</v>
      </c>
      <c r="G226" s="27">
        <f>-G22</f>
        <v>8428.1200000000008</v>
      </c>
      <c r="H226" s="27">
        <f>-H22</f>
        <v>11323.25</v>
      </c>
      <c r="I226" s="27">
        <f>-I22</f>
        <v>13188.93</v>
      </c>
      <c r="J226" s="27">
        <f>-J22</f>
        <v>15695.27</v>
      </c>
      <c r="K226" s="27">
        <f>J226*(1+K225)</f>
        <v>17892.607800000002</v>
      </c>
      <c r="L226" s="27">
        <f>K226*(1+L225)</f>
        <v>20218.646814</v>
      </c>
      <c r="M226" s="27">
        <f>L226*(1+M225)</f>
        <v>22847.070899819999</v>
      </c>
      <c r="N226" s="27">
        <f>M226*(1+N225)</f>
        <v>25588.719407798402</v>
      </c>
      <c r="O226" s="27">
        <f>N226*(1+O225)</f>
        <v>28659.365736734213</v>
      </c>
      <c r="Q226" s="35"/>
    </row>
    <row r="227" spans="2:17" x14ac:dyDescent="0.2">
      <c r="B227" s="5" t="s">
        <v>145</v>
      </c>
      <c r="C227" s="5"/>
      <c r="D227" s="5"/>
      <c r="E227" s="5"/>
      <c r="F227" s="29">
        <f t="shared" ref="F227:O227" si="39">F224+F226</f>
        <v>9644.4500000000007</v>
      </c>
      <c r="G227" s="29">
        <f t="shared" si="39"/>
        <v>12170.35</v>
      </c>
      <c r="H227" s="29">
        <f t="shared" si="39"/>
        <v>16215.779999999999</v>
      </c>
      <c r="I227" s="29">
        <f t="shared" si="39"/>
        <v>18898.830000000002</v>
      </c>
      <c r="J227" s="29">
        <f t="shared" si="39"/>
        <v>21877.200000000001</v>
      </c>
      <c r="K227" s="29">
        <f t="shared" si="39"/>
        <v>24940.008000000002</v>
      </c>
      <c r="L227" s="29">
        <f t="shared" si="39"/>
        <v>28182.209040000002</v>
      </c>
      <c r="M227" s="29">
        <f t="shared" si="39"/>
        <v>31845.896215199999</v>
      </c>
      <c r="N227" s="29">
        <f t="shared" si="39"/>
        <v>35667.403761024005</v>
      </c>
      <c r="O227" s="29">
        <f t="shared" si="39"/>
        <v>39947.492212346886</v>
      </c>
      <c r="Q227" s="35"/>
    </row>
    <row r="228" spans="2:17" x14ac:dyDescent="0.2">
      <c r="Q228" s="35"/>
    </row>
    <row r="229" spans="2:17" x14ac:dyDescent="0.2">
      <c r="Q229" s="35"/>
    </row>
    <row r="230" spans="2:17" ht="20" x14ac:dyDescent="0.25">
      <c r="B230" s="150" t="s">
        <v>242</v>
      </c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Q230" s="35"/>
    </row>
    <row r="231" spans="2:17" x14ac:dyDescent="0.2">
      <c r="Q231" s="35"/>
    </row>
    <row r="232" spans="2:17" ht="17" thickBot="1" x14ac:dyDescent="0.25">
      <c r="B232" s="3" t="s">
        <v>58</v>
      </c>
      <c r="F232" s="4">
        <f t="shared" ref="F232:O232" si="40">F$5</f>
        <v>2022</v>
      </c>
      <c r="G232" s="4">
        <f t="shared" si="40"/>
        <v>2023</v>
      </c>
      <c r="H232" s="4">
        <f t="shared" si="40"/>
        <v>2024</v>
      </c>
      <c r="I232" s="4">
        <f t="shared" si="40"/>
        <v>2025</v>
      </c>
      <c r="J232" s="4">
        <f t="shared" si="40"/>
        <v>2026</v>
      </c>
      <c r="K232" s="16">
        <f t="shared" si="40"/>
        <v>2027</v>
      </c>
      <c r="L232" s="16">
        <f t="shared" si="40"/>
        <v>2028</v>
      </c>
      <c r="M232" s="16">
        <f t="shared" si="40"/>
        <v>2029</v>
      </c>
      <c r="N232" s="16">
        <f t="shared" si="40"/>
        <v>2030</v>
      </c>
      <c r="O232" s="16">
        <f t="shared" si="40"/>
        <v>2031</v>
      </c>
      <c r="Q232" s="35"/>
    </row>
    <row r="233" spans="2:17" x14ac:dyDescent="0.2">
      <c r="B233" s="3" t="str">
        <f>B$6</f>
        <v>Model Running: Base Case Drivers</v>
      </c>
      <c r="Q233" s="35"/>
    </row>
    <row r="234" spans="2:17" x14ac:dyDescent="0.2">
      <c r="Q234" s="35"/>
    </row>
    <row r="235" spans="2:17" x14ac:dyDescent="0.2">
      <c r="B235" s="1" t="s">
        <v>110</v>
      </c>
      <c r="F235" s="23"/>
      <c r="G235" s="32">
        <f>G236/F236-1</f>
        <v>1.4381590555812291</v>
      </c>
      <c r="H235" s="32">
        <f>H236/G236-1</f>
        <v>0.16213352172377249</v>
      </c>
      <c r="I235" s="32">
        <f>I236/H236-1</f>
        <v>-0.34323522870487067</v>
      </c>
      <c r="J235" s="32">
        <f>J236/I236-1</f>
        <v>-0.13788082310844219</v>
      </c>
      <c r="K235" s="46">
        <f>Inputs!K62</f>
        <v>0.1</v>
      </c>
      <c r="L235" s="46">
        <f>Inputs!L62</f>
        <v>0.1</v>
      </c>
      <c r="M235" s="46">
        <f>Inputs!M62</f>
        <v>0.1</v>
      </c>
      <c r="N235" s="46">
        <f>Inputs!N62</f>
        <v>0.1</v>
      </c>
      <c r="O235" s="46">
        <f>Inputs!O62</f>
        <v>0.1</v>
      </c>
      <c r="Q235" s="35"/>
    </row>
    <row r="236" spans="2:17" x14ac:dyDescent="0.2">
      <c r="B236" s="1" t="s">
        <v>243</v>
      </c>
      <c r="F236" s="26">
        <f>Historicals!F51</f>
        <v>476.06</v>
      </c>
      <c r="G236" s="26">
        <f>Historicals!G51</f>
        <v>1160.71</v>
      </c>
      <c r="H236" s="26">
        <f>Historicals!H51</f>
        <v>1348.9</v>
      </c>
      <c r="I236" s="26">
        <f>Historicals!I51</f>
        <v>885.91</v>
      </c>
      <c r="J236" s="26">
        <f>Historicals!J51</f>
        <v>763.76</v>
      </c>
      <c r="K236" s="27">
        <f>J236*(1+K235)</f>
        <v>840.13600000000008</v>
      </c>
      <c r="L236" s="27">
        <f>K236*(1+L235)</f>
        <v>924.14960000000019</v>
      </c>
      <c r="M236" s="27">
        <f>L236*(1+M235)</f>
        <v>1016.5645600000003</v>
      </c>
      <c r="N236" s="27">
        <f>M236*(1+N235)</f>
        <v>1118.2210160000004</v>
      </c>
      <c r="O236" s="27">
        <f>N236*(1+O235)</f>
        <v>1230.0431176000006</v>
      </c>
      <c r="Q236" s="35"/>
    </row>
    <row r="237" spans="2:17" x14ac:dyDescent="0.2">
      <c r="B237" s="1" t="s">
        <v>112</v>
      </c>
      <c r="F237" s="23"/>
      <c r="G237" s="32">
        <f>G242/F243</f>
        <v>0.31198483713139685</v>
      </c>
      <c r="H237" s="32">
        <f>H242/G243</f>
        <v>0.29582848913703935</v>
      </c>
      <c r="I237" s="32">
        <f>I242/H243</f>
        <v>0.31320172709329891</v>
      </c>
      <c r="J237" s="32">
        <f>J242/I243</f>
        <v>0.31682346534467543</v>
      </c>
      <c r="K237" s="46">
        <f>Inputs!K63</f>
        <v>0.32</v>
      </c>
      <c r="L237" s="46">
        <f>Inputs!L63</f>
        <v>0.32</v>
      </c>
      <c r="M237" s="46">
        <f>Inputs!M63</f>
        <v>0.32</v>
      </c>
      <c r="N237" s="46">
        <f>Inputs!N63</f>
        <v>0.32</v>
      </c>
      <c r="O237" s="46">
        <f>Inputs!O63</f>
        <v>0.32</v>
      </c>
      <c r="Q237" s="35"/>
    </row>
    <row r="238" spans="2:17" x14ac:dyDescent="0.2">
      <c r="Q238" s="35"/>
    </row>
    <row r="239" spans="2:17" x14ac:dyDescent="0.2">
      <c r="B239" s="5" t="s">
        <v>244</v>
      </c>
      <c r="Q239" s="35"/>
    </row>
    <row r="240" spans="2:17" x14ac:dyDescent="0.2">
      <c r="B240" s="1" t="s">
        <v>245</v>
      </c>
      <c r="F240" s="8"/>
      <c r="G240" s="27">
        <f t="shared" ref="G240:O240" si="41">F243</f>
        <v>1361.22</v>
      </c>
      <c r="H240" s="27">
        <f t="shared" si="41"/>
        <v>2090.13</v>
      </c>
      <c r="I240" s="27">
        <f t="shared" si="41"/>
        <v>2619.4299999999998</v>
      </c>
      <c r="J240" s="27">
        <f t="shared" si="41"/>
        <v>2662.65</v>
      </c>
      <c r="K240" s="27">
        <f t="shared" si="41"/>
        <v>2557.2800000000002</v>
      </c>
      <c r="L240" s="27">
        <f t="shared" si="41"/>
        <v>2579.0864000000001</v>
      </c>
      <c r="M240" s="27">
        <f t="shared" si="41"/>
        <v>2677.9283520000004</v>
      </c>
      <c r="N240" s="27">
        <f t="shared" si="41"/>
        <v>2837.5558393600004</v>
      </c>
      <c r="O240" s="27">
        <f t="shared" si="41"/>
        <v>3047.7589867648007</v>
      </c>
      <c r="Q240" s="35"/>
    </row>
    <row r="241" spans="2:17" x14ac:dyDescent="0.2">
      <c r="B241" s="1" t="s">
        <v>246</v>
      </c>
      <c r="F241" s="27">
        <f t="shared" ref="F241:O241" si="42">F236</f>
        <v>476.06</v>
      </c>
      <c r="G241" s="27">
        <f t="shared" si="42"/>
        <v>1160.71</v>
      </c>
      <c r="H241" s="27">
        <f t="shared" si="42"/>
        <v>1348.9</v>
      </c>
      <c r="I241" s="27">
        <f t="shared" si="42"/>
        <v>885.91</v>
      </c>
      <c r="J241" s="27">
        <f t="shared" si="42"/>
        <v>763.76</v>
      </c>
      <c r="K241" s="27">
        <f t="shared" si="42"/>
        <v>840.13600000000008</v>
      </c>
      <c r="L241" s="27">
        <f t="shared" si="42"/>
        <v>924.14960000000019</v>
      </c>
      <c r="M241" s="27">
        <f t="shared" si="42"/>
        <v>1016.5645600000003</v>
      </c>
      <c r="N241" s="27">
        <f t="shared" si="42"/>
        <v>1118.2210160000004</v>
      </c>
      <c r="O241" s="27">
        <f t="shared" si="42"/>
        <v>1230.0431176000006</v>
      </c>
      <c r="Q241" s="35"/>
    </row>
    <row r="242" spans="2:17" x14ac:dyDescent="0.2">
      <c r="B242" s="1" t="s">
        <v>247</v>
      </c>
      <c r="F242" s="26">
        <f>Historicals!F50</f>
        <v>373.26</v>
      </c>
      <c r="G242" s="26">
        <f>Historicals!G50</f>
        <v>424.68</v>
      </c>
      <c r="H242" s="26">
        <f>Historicals!H50</f>
        <v>618.32000000000005</v>
      </c>
      <c r="I242" s="26">
        <f>Historicals!I50</f>
        <v>820.41</v>
      </c>
      <c r="J242" s="26">
        <f>Historicals!J50</f>
        <v>843.59</v>
      </c>
      <c r="K242" s="27">
        <f>K237*K240</f>
        <v>818.32960000000003</v>
      </c>
      <c r="L242" s="27">
        <f>L237*L240</f>
        <v>825.30764800000009</v>
      </c>
      <c r="M242" s="27">
        <f>M237*M240</f>
        <v>856.93707264000011</v>
      </c>
      <c r="N242" s="27">
        <f>N237*N240</f>
        <v>908.01786859520018</v>
      </c>
      <c r="O242" s="27">
        <f>O237*O240</f>
        <v>975.28287576473622</v>
      </c>
      <c r="Q242" s="35"/>
    </row>
    <row r="243" spans="2:17" x14ac:dyDescent="0.2">
      <c r="B243" s="5" t="s">
        <v>248</v>
      </c>
      <c r="C243" s="5"/>
      <c r="D243" s="5"/>
      <c r="E243" s="5"/>
      <c r="F243" s="29">
        <f>F88</f>
        <v>1361.22</v>
      </c>
      <c r="G243" s="29">
        <f>G88</f>
        <v>2090.13</v>
      </c>
      <c r="H243" s="29">
        <f>H88</f>
        <v>2619.4299999999998</v>
      </c>
      <c r="I243" s="29">
        <f>I88</f>
        <v>2662.65</v>
      </c>
      <c r="J243" s="29">
        <f>J88</f>
        <v>2557.2800000000002</v>
      </c>
      <c r="K243" s="29">
        <f>K240+K241-K242</f>
        <v>2579.0864000000001</v>
      </c>
      <c r="L243" s="29">
        <f>L240+L241-L242</f>
        <v>2677.9283520000004</v>
      </c>
      <c r="M243" s="29">
        <f>M240+M241-M242</f>
        <v>2837.5558393600004</v>
      </c>
      <c r="N243" s="29">
        <f>N240+N241-N242</f>
        <v>3047.7589867648007</v>
      </c>
      <c r="O243" s="29">
        <f>O240+O241-O242</f>
        <v>3302.5192286000652</v>
      </c>
      <c r="Q243" s="35"/>
    </row>
    <row r="244" spans="2:17" x14ac:dyDescent="0.2">
      <c r="Q244" s="35"/>
    </row>
    <row r="245" spans="2:17" x14ac:dyDescent="0.2">
      <c r="Q245" s="35"/>
    </row>
    <row r="246" spans="2:17" ht="20" x14ac:dyDescent="0.25">
      <c r="B246" s="150" t="s">
        <v>249</v>
      </c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Q246" s="35"/>
    </row>
    <row r="247" spans="2:17" x14ac:dyDescent="0.2">
      <c r="Q247" s="35"/>
    </row>
    <row r="248" spans="2:17" ht="17" thickBot="1" x14ac:dyDescent="0.25">
      <c r="B248" s="3" t="s">
        <v>58</v>
      </c>
      <c r="F248" s="4">
        <f t="shared" ref="F248:O248" si="43">F$5</f>
        <v>2022</v>
      </c>
      <c r="G248" s="4">
        <f t="shared" si="43"/>
        <v>2023</v>
      </c>
      <c r="H248" s="4">
        <f t="shared" si="43"/>
        <v>2024</v>
      </c>
      <c r="I248" s="4">
        <f t="shared" si="43"/>
        <v>2025</v>
      </c>
      <c r="J248" s="4">
        <f t="shared" si="43"/>
        <v>2026</v>
      </c>
      <c r="K248" s="16">
        <f t="shared" si="43"/>
        <v>2027</v>
      </c>
      <c r="L248" s="16">
        <f t="shared" si="43"/>
        <v>2028</v>
      </c>
      <c r="M248" s="16">
        <f t="shared" si="43"/>
        <v>2029</v>
      </c>
      <c r="N248" s="16">
        <f t="shared" si="43"/>
        <v>2030</v>
      </c>
      <c r="O248" s="16">
        <f t="shared" si="43"/>
        <v>2031</v>
      </c>
      <c r="Q248" s="35"/>
    </row>
    <row r="249" spans="2:17" x14ac:dyDescent="0.2">
      <c r="B249" s="3" t="str">
        <f>B$6</f>
        <v>Model Running: Base Case Drivers</v>
      </c>
      <c r="Q249" s="35"/>
    </row>
    <row r="250" spans="2:17" x14ac:dyDescent="0.2">
      <c r="Q250" s="35"/>
    </row>
    <row r="251" spans="2:17" x14ac:dyDescent="0.2">
      <c r="B251" s="1" t="s">
        <v>84</v>
      </c>
      <c r="F251" s="32">
        <f>F252/F115</f>
        <v>7.6870941083237596E-2</v>
      </c>
      <c r="G251" s="32">
        <f>G252/G115</f>
        <v>7.2700182279295575E-2</v>
      </c>
      <c r="H251" s="32">
        <f>H252/H115</f>
        <v>6.0190951988508087E-2</v>
      </c>
      <c r="I251" s="32">
        <f>I252/I115</f>
        <v>5.2466463299935012E-2</v>
      </c>
      <c r="J251" s="32">
        <f>J252/J115</f>
        <v>6.4565538217044374E-2</v>
      </c>
      <c r="K251" s="46">
        <f>Inputs!K46</f>
        <v>0.06</v>
      </c>
      <c r="L251" s="46">
        <f>Inputs!L46</f>
        <v>0.06</v>
      </c>
      <c r="M251" s="46">
        <f>Inputs!M46</f>
        <v>0.06</v>
      </c>
      <c r="N251" s="46">
        <f>Inputs!N46</f>
        <v>0.06</v>
      </c>
      <c r="O251" s="46">
        <f>Inputs!O46</f>
        <v>0.06</v>
      </c>
      <c r="Q251" s="35"/>
    </row>
    <row r="252" spans="2:17" x14ac:dyDescent="0.2">
      <c r="B252" s="5" t="s">
        <v>33</v>
      </c>
      <c r="C252" s="5"/>
      <c r="D252" s="5"/>
      <c r="E252" s="5"/>
      <c r="F252" s="28">
        <f>F89</f>
        <v>9059.84</v>
      </c>
      <c r="G252" s="28">
        <f>G89</f>
        <v>11035.49</v>
      </c>
      <c r="H252" s="28">
        <f>H89</f>
        <v>11712.7</v>
      </c>
      <c r="I252" s="28">
        <f>I89</f>
        <v>12230.59</v>
      </c>
      <c r="J252" s="28">
        <f>J89</f>
        <v>18103.57</v>
      </c>
      <c r="K252" s="28">
        <f>K115*K251</f>
        <v>20188.123199999998</v>
      </c>
      <c r="L252" s="28">
        <f>L115*L251</f>
        <v>24225.747839999996</v>
      </c>
      <c r="M252" s="28">
        <f>M115*M251</f>
        <v>28828.639929599995</v>
      </c>
      <c r="N252" s="28">
        <f>N115*N251</f>
        <v>34017.795116927999</v>
      </c>
      <c r="O252" s="28">
        <f>O115*O251</f>
        <v>39800.820286805749</v>
      </c>
      <c r="Q252" s="35"/>
    </row>
    <row r="253" spans="2:17" x14ac:dyDescent="0.2">
      <c r="B253" s="1" t="s">
        <v>86</v>
      </c>
      <c r="F253" s="32">
        <f>F254/F138</f>
        <v>0.10016788098115045</v>
      </c>
      <c r="G253" s="32">
        <f>G254/G138</f>
        <v>8.5531803654257679E-2</v>
      </c>
      <c r="H253" s="32">
        <f>H254/H138</f>
        <v>6.2030805133467655E-2</v>
      </c>
      <c r="I253" s="32">
        <f>I254/I138</f>
        <v>5.8320454723528925E-2</v>
      </c>
      <c r="J253" s="32">
        <f>J254/J138</f>
        <v>7.2444358943752535E-2</v>
      </c>
      <c r="K253" s="46">
        <f>Inputs!K47</f>
        <v>7.0000000000000007E-2</v>
      </c>
      <c r="L253" s="46">
        <f>Inputs!L47</f>
        <v>7.0000000000000007E-2</v>
      </c>
      <c r="M253" s="46">
        <f>Inputs!M47</f>
        <v>7.0000000000000007E-2</v>
      </c>
      <c r="N253" s="46">
        <f>Inputs!N47</f>
        <v>7.0000000000000007E-2</v>
      </c>
      <c r="O253" s="46">
        <f>Inputs!O47</f>
        <v>7.0000000000000007E-2</v>
      </c>
      <c r="Q253" s="35"/>
    </row>
    <row r="254" spans="2:17" x14ac:dyDescent="0.2">
      <c r="B254" s="5" t="s">
        <v>26</v>
      </c>
      <c r="C254" s="5"/>
      <c r="D254" s="5"/>
      <c r="E254" s="5"/>
      <c r="F254" s="28">
        <f>F95</f>
        <v>10581.17</v>
      </c>
      <c r="G254" s="28">
        <f>G95</f>
        <v>12371.09</v>
      </c>
      <c r="H254" s="28">
        <f>H95</f>
        <v>12441.91</v>
      </c>
      <c r="I254" s="28">
        <f>I95</f>
        <v>14700.56</v>
      </c>
      <c r="J254" s="28">
        <f>J95</f>
        <v>21333.02</v>
      </c>
      <c r="K254" s="28">
        <f>K138*K253</f>
        <v>25148.126570000004</v>
      </c>
      <c r="L254" s="28">
        <f>L138*L253</f>
        <v>30429.233149700005</v>
      </c>
      <c r="M254" s="28">
        <f>M138*M253</f>
        <v>36515.079779640007</v>
      </c>
      <c r="N254" s="28">
        <f>N138*N253</f>
        <v>43452.944937771601</v>
      </c>
      <c r="O254" s="28">
        <f>O138*O253</f>
        <v>51274.475026570486</v>
      </c>
      <c r="Q254" s="35"/>
    </row>
    <row r="255" spans="2:17" x14ac:dyDescent="0.2">
      <c r="Q255" s="35"/>
    </row>
    <row r="256" spans="2:17" x14ac:dyDescent="0.2">
      <c r="Q256" s="35"/>
    </row>
    <row r="257" spans="2:17" ht="20" x14ac:dyDescent="0.25">
      <c r="B257" s="150" t="s">
        <v>250</v>
      </c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Q257" s="35"/>
    </row>
    <row r="258" spans="2:17" x14ac:dyDescent="0.2">
      <c r="Q258" s="35"/>
    </row>
    <row r="259" spans="2:17" ht="17" thickBot="1" x14ac:dyDescent="0.25">
      <c r="B259" s="3" t="s">
        <v>58</v>
      </c>
      <c r="F259" s="4">
        <f t="shared" ref="F259:O259" si="44">F$5</f>
        <v>2022</v>
      </c>
      <c r="G259" s="4">
        <f t="shared" si="44"/>
        <v>2023</v>
      </c>
      <c r="H259" s="4">
        <f t="shared" si="44"/>
        <v>2024</v>
      </c>
      <c r="I259" s="4">
        <f t="shared" si="44"/>
        <v>2025</v>
      </c>
      <c r="J259" s="4">
        <f t="shared" si="44"/>
        <v>2026</v>
      </c>
      <c r="K259" s="16">
        <f t="shared" si="44"/>
        <v>2027</v>
      </c>
      <c r="L259" s="16">
        <f t="shared" si="44"/>
        <v>2028</v>
      </c>
      <c r="M259" s="16">
        <f t="shared" si="44"/>
        <v>2029</v>
      </c>
      <c r="N259" s="16">
        <f t="shared" si="44"/>
        <v>2030</v>
      </c>
      <c r="O259" s="16">
        <f t="shared" si="44"/>
        <v>2031</v>
      </c>
      <c r="Q259" s="35"/>
    </row>
    <row r="260" spans="2:17" x14ac:dyDescent="0.2">
      <c r="B260" s="3" t="str">
        <f>B$6</f>
        <v>Model Running: Base Case Drivers</v>
      </c>
      <c r="Q260" s="35"/>
    </row>
    <row r="261" spans="2:17" x14ac:dyDescent="0.2">
      <c r="Q261" s="35"/>
    </row>
    <row r="262" spans="2:17" x14ac:dyDescent="0.2">
      <c r="B262" s="1" t="s">
        <v>147</v>
      </c>
      <c r="F262" s="27">
        <f t="shared" ref="F262:O262" si="45">F27</f>
        <v>175.17000000000371</v>
      </c>
      <c r="G262" s="27">
        <f t="shared" si="45"/>
        <v>3267.1300000000028</v>
      </c>
      <c r="H262" s="27">
        <f t="shared" si="45"/>
        <v>3855.3199999999974</v>
      </c>
      <c r="I262" s="27">
        <f t="shared" si="45"/>
        <v>1900.1200000000026</v>
      </c>
      <c r="J262" s="27">
        <f t="shared" si="45"/>
        <v>1832.8100000000004</v>
      </c>
      <c r="K262" s="27">
        <f t="shared" si="45"/>
        <v>4440.4726608000083</v>
      </c>
      <c r="L262" s="27">
        <f t="shared" si="45"/>
        <v>6945.6626451235097</v>
      </c>
      <c r="M262" s="27">
        <f t="shared" si="45"/>
        <v>9567.8033954912644</v>
      </c>
      <c r="N262" s="27">
        <f t="shared" si="45"/>
        <v>12559.603472653904</v>
      </c>
      <c r="O262" s="27">
        <f t="shared" si="45"/>
        <v>16754.004420779769</v>
      </c>
      <c r="Q262" s="35"/>
    </row>
    <row r="263" spans="2:17" x14ac:dyDescent="0.2">
      <c r="B263" s="1" t="s">
        <v>251</v>
      </c>
      <c r="F263" s="31">
        <f>F264/F262</f>
        <v>0.16943540560597917</v>
      </c>
      <c r="G263" s="31">
        <f>G264/G262</f>
        <v>0.2540455996547426</v>
      </c>
      <c r="H263" s="31">
        <f>H264/H262</f>
        <v>0.23313499268543222</v>
      </c>
      <c r="I263" s="31">
        <f>I264/I262</f>
        <v>0.19749805275456259</v>
      </c>
      <c r="J263" s="31">
        <f>J264/J262</f>
        <v>0.10718514194051754</v>
      </c>
      <c r="K263" s="47">
        <f>Inputs!K64</f>
        <v>0.25169999999999998</v>
      </c>
      <c r="L263" s="47">
        <f>Inputs!L64</f>
        <v>0.25169999999999998</v>
      </c>
      <c r="M263" s="47">
        <f>Inputs!M64</f>
        <v>0.25169999999999998</v>
      </c>
      <c r="N263" s="47">
        <f>Inputs!N64</f>
        <v>0.25169999999999998</v>
      </c>
      <c r="O263" s="47">
        <f>Inputs!O64</f>
        <v>0.25169999999999998</v>
      </c>
      <c r="Q263" s="35"/>
    </row>
    <row r="264" spans="2:17" x14ac:dyDescent="0.2">
      <c r="B264" s="5" t="s">
        <v>17</v>
      </c>
      <c r="C264" s="5"/>
      <c r="D264" s="5"/>
      <c r="E264" s="5"/>
      <c r="F264" s="29">
        <f>-F29</f>
        <v>29.68</v>
      </c>
      <c r="G264" s="29">
        <f>-G29</f>
        <v>830</v>
      </c>
      <c r="H264" s="29">
        <f>-H29</f>
        <v>898.81</v>
      </c>
      <c r="I264" s="29">
        <f>-I29</f>
        <v>375.27</v>
      </c>
      <c r="J264" s="29">
        <f>-J29</f>
        <v>196.45</v>
      </c>
      <c r="K264" s="29">
        <f>MAX(0,K262)*K263</f>
        <v>1117.6669687233621</v>
      </c>
      <c r="L264" s="29">
        <f>MAX(0,L262)*L263</f>
        <v>1748.2232877775873</v>
      </c>
      <c r="M264" s="29">
        <f>MAX(0,M262)*M263</f>
        <v>2408.2161146451513</v>
      </c>
      <c r="N264" s="29">
        <f>MAX(0,N262)*N263</f>
        <v>3161.2521940669872</v>
      </c>
      <c r="O264" s="29">
        <f>MAX(0,O262)*O263</f>
        <v>4216.9829127102676</v>
      </c>
      <c r="Q264" s="35"/>
    </row>
    <row r="265" spans="2:17" x14ac:dyDescent="0.2">
      <c r="Q265" s="35"/>
    </row>
    <row r="266" spans="2:17" x14ac:dyDescent="0.2">
      <c r="Q266" s="35"/>
    </row>
    <row r="267" spans="2:17" ht="20" x14ac:dyDescent="0.25">
      <c r="B267" s="150" t="s">
        <v>252</v>
      </c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Q267" s="35"/>
    </row>
    <row r="268" spans="2:17" x14ac:dyDescent="0.2">
      <c r="Q268" s="35"/>
    </row>
    <row r="269" spans="2:17" ht="17" thickBot="1" x14ac:dyDescent="0.25">
      <c r="B269" s="3" t="s">
        <v>58</v>
      </c>
      <c r="F269" s="4">
        <f t="shared" ref="F269:O269" si="46">F$5</f>
        <v>2022</v>
      </c>
      <c r="G269" s="4">
        <f t="shared" si="46"/>
        <v>2023</v>
      </c>
      <c r="H269" s="4">
        <f t="shared" si="46"/>
        <v>2024</v>
      </c>
      <c r="I269" s="4">
        <f t="shared" si="46"/>
        <v>2025</v>
      </c>
      <c r="J269" s="4">
        <f t="shared" si="46"/>
        <v>2026</v>
      </c>
      <c r="K269" s="16">
        <f t="shared" si="46"/>
        <v>2027</v>
      </c>
      <c r="L269" s="16">
        <f t="shared" si="46"/>
        <v>2028</v>
      </c>
      <c r="M269" s="16">
        <f t="shared" si="46"/>
        <v>2029</v>
      </c>
      <c r="N269" s="16">
        <f t="shared" si="46"/>
        <v>2030</v>
      </c>
      <c r="O269" s="16">
        <f t="shared" si="46"/>
        <v>2031</v>
      </c>
      <c r="Q269" s="35"/>
    </row>
    <row r="270" spans="2:17" x14ac:dyDescent="0.2">
      <c r="B270" s="3" t="str">
        <f>B$6</f>
        <v>Model Running: Base Case Drivers</v>
      </c>
      <c r="Q270" s="35"/>
    </row>
    <row r="271" spans="2:17" x14ac:dyDescent="0.2">
      <c r="Q271" s="35"/>
    </row>
    <row r="272" spans="2:17" x14ac:dyDescent="0.2">
      <c r="B272" s="5" t="s">
        <v>253</v>
      </c>
      <c r="Q272" s="35"/>
    </row>
    <row r="273" spans="2:17" x14ac:dyDescent="0.2">
      <c r="B273" s="1" t="s">
        <v>221</v>
      </c>
      <c r="F273" s="8"/>
      <c r="G273" s="27">
        <f t="shared" ref="G273:O273" si="47">F275</f>
        <v>6233.83</v>
      </c>
      <c r="H273" s="27">
        <f t="shared" si="47"/>
        <v>6655.24</v>
      </c>
      <c r="I273" s="27">
        <f t="shared" si="47"/>
        <v>7128.85</v>
      </c>
      <c r="J273" s="27">
        <f t="shared" si="47"/>
        <v>7470.83</v>
      </c>
      <c r="K273" s="27">
        <f t="shared" si="47"/>
        <v>8889.5700000000015</v>
      </c>
      <c r="L273" s="27">
        <f t="shared" si="47"/>
        <v>8889.5700000000015</v>
      </c>
      <c r="M273" s="27">
        <f t="shared" si="47"/>
        <v>16389.57</v>
      </c>
      <c r="N273" s="27">
        <f t="shared" si="47"/>
        <v>16389.57</v>
      </c>
      <c r="O273" s="27">
        <f t="shared" si="47"/>
        <v>26389.57</v>
      </c>
      <c r="Q273" s="35"/>
    </row>
    <row r="274" spans="2:17" x14ac:dyDescent="0.2">
      <c r="B274" s="1" t="s">
        <v>171</v>
      </c>
      <c r="F274" s="8"/>
      <c r="G274" s="8"/>
      <c r="H274" s="8"/>
      <c r="I274" s="8"/>
      <c r="J274" s="8"/>
      <c r="K274" s="26">
        <f>Inputs!K72</f>
        <v>0</v>
      </c>
      <c r="L274" s="26">
        <f>Inputs!L72</f>
        <v>7500</v>
      </c>
      <c r="M274" s="26">
        <f>Inputs!M72</f>
        <v>0</v>
      </c>
      <c r="N274" s="26">
        <f>Inputs!N72</f>
        <v>10000</v>
      </c>
      <c r="O274" s="26">
        <f>Inputs!O72</f>
        <v>0</v>
      </c>
      <c r="Q274" s="35"/>
    </row>
    <row r="275" spans="2:17" x14ac:dyDescent="0.2">
      <c r="B275" s="5" t="s">
        <v>223</v>
      </c>
      <c r="C275" s="5"/>
      <c r="D275" s="5"/>
      <c r="E275" s="5"/>
      <c r="F275" s="29">
        <f>F99</f>
        <v>6233.83</v>
      </c>
      <c r="G275" s="29">
        <f>G99</f>
        <v>6655.24</v>
      </c>
      <c r="H275" s="29">
        <f>H99</f>
        <v>7128.85</v>
      </c>
      <c r="I275" s="29">
        <f>I99</f>
        <v>7470.83</v>
      </c>
      <c r="J275" s="29">
        <f>J99</f>
        <v>8889.5700000000015</v>
      </c>
      <c r="K275" s="29">
        <f>K273+K274</f>
        <v>8889.5700000000015</v>
      </c>
      <c r="L275" s="29">
        <f>L273+L274</f>
        <v>16389.57</v>
      </c>
      <c r="M275" s="29">
        <f>M273+M274</f>
        <v>16389.57</v>
      </c>
      <c r="N275" s="29">
        <f>N273+N274</f>
        <v>26389.57</v>
      </c>
      <c r="O275" s="29">
        <f>O273+O274</f>
        <v>26389.57</v>
      </c>
      <c r="Q275" s="35"/>
    </row>
    <row r="276" spans="2:17" x14ac:dyDescent="0.2">
      <c r="Q276" s="35"/>
    </row>
    <row r="277" spans="2:17" x14ac:dyDescent="0.2">
      <c r="B277" s="5" t="s">
        <v>254</v>
      </c>
      <c r="Q277" s="35"/>
    </row>
    <row r="278" spans="2:17" x14ac:dyDescent="0.2">
      <c r="B278" s="1" t="s">
        <v>255</v>
      </c>
      <c r="F278" s="8"/>
      <c r="G278" s="8"/>
      <c r="H278" s="8"/>
      <c r="I278" s="8"/>
      <c r="J278" s="8"/>
      <c r="K278" s="27">
        <f>J30</f>
        <v>1636.3600000000004</v>
      </c>
      <c r="L278" s="27">
        <f>K30</f>
        <v>3322.8056920766462</v>
      </c>
      <c r="M278" s="27">
        <f>L30</f>
        <v>5197.439357345922</v>
      </c>
      <c r="N278" s="27">
        <f>M30</f>
        <v>7159.5872808461136</v>
      </c>
      <c r="O278" s="27">
        <f>N30</f>
        <v>9398.351278586917</v>
      </c>
      <c r="Q278" s="35"/>
    </row>
    <row r="279" spans="2:17" x14ac:dyDescent="0.2">
      <c r="B279" s="1" t="s">
        <v>256</v>
      </c>
      <c r="F279" s="23"/>
      <c r="G279" s="23"/>
      <c r="H279" s="23"/>
      <c r="I279" s="23"/>
      <c r="J279" s="23"/>
      <c r="K279" s="46">
        <f>Inputs!K71</f>
        <v>0.13141515314478475</v>
      </c>
      <c r="L279" s="46">
        <f>Inputs!L71</f>
        <v>0.15</v>
      </c>
      <c r="M279" s="46">
        <f>Inputs!M71</f>
        <v>0.15</v>
      </c>
      <c r="N279" s="46">
        <f>Inputs!N71</f>
        <v>0.15</v>
      </c>
      <c r="O279" s="46">
        <f>Inputs!O71</f>
        <v>0.15</v>
      </c>
      <c r="Q279" s="35"/>
    </row>
    <row r="280" spans="2:17" x14ac:dyDescent="0.2">
      <c r="B280" s="5" t="s">
        <v>172</v>
      </c>
      <c r="C280" s="5"/>
      <c r="D280" s="5"/>
      <c r="E280" s="5"/>
      <c r="F280" s="10"/>
      <c r="G280" s="10"/>
      <c r="H280" s="10"/>
      <c r="I280" s="10"/>
      <c r="J280" s="10"/>
      <c r="K280" s="29">
        <f>K278*K279</f>
        <v>215.04250000000002</v>
      </c>
      <c r="L280" s="29">
        <f>L278*L279</f>
        <v>498.4208538114969</v>
      </c>
      <c r="M280" s="29">
        <f>M278*M279</f>
        <v>779.61590360188825</v>
      </c>
      <c r="N280" s="29">
        <f>N278*N279</f>
        <v>1073.9380921269169</v>
      </c>
      <c r="O280" s="29">
        <f>O278*O279</f>
        <v>1409.7526917880375</v>
      </c>
      <c r="Q280" s="35"/>
    </row>
    <row r="281" spans="2:17" x14ac:dyDescent="0.2">
      <c r="Q281" s="35"/>
    </row>
    <row r="282" spans="2:17" x14ac:dyDescent="0.2">
      <c r="B282" s="5" t="s">
        <v>257</v>
      </c>
      <c r="Q282" s="35"/>
    </row>
    <row r="283" spans="2:17" x14ac:dyDescent="0.2">
      <c r="B283" s="1" t="s">
        <v>221</v>
      </c>
      <c r="F283" s="8"/>
      <c r="G283" s="27">
        <f t="shared" ref="G283:O283" si="48">F286</f>
        <v>14769.65</v>
      </c>
      <c r="H283" s="27">
        <f t="shared" si="48"/>
        <v>19065.93</v>
      </c>
      <c r="I283" s="27">
        <f t="shared" si="48"/>
        <v>25032.46</v>
      </c>
      <c r="J283" s="27">
        <f t="shared" si="48"/>
        <v>30607.17</v>
      </c>
      <c r="K283" s="27">
        <f t="shared" si="48"/>
        <v>38462.269999999997</v>
      </c>
      <c r="L283" s="27">
        <f t="shared" si="48"/>
        <v>41570.03319207664</v>
      </c>
      <c r="M283" s="27">
        <f t="shared" si="48"/>
        <v>46269.051695611066</v>
      </c>
      <c r="N283" s="27">
        <f t="shared" si="48"/>
        <v>52649.023072855292</v>
      </c>
      <c r="O283" s="27">
        <f t="shared" si="48"/>
        <v>60973.436259315291</v>
      </c>
      <c r="Q283" s="35"/>
    </row>
    <row r="284" spans="2:17" x14ac:dyDescent="0.2">
      <c r="B284" s="1" t="s">
        <v>258</v>
      </c>
      <c r="F284" s="27">
        <f t="shared" ref="F284:O284" si="49">F30</f>
        <v>145.4900000000037</v>
      </c>
      <c r="G284" s="27">
        <f t="shared" si="49"/>
        <v>2437.1300000000028</v>
      </c>
      <c r="H284" s="27">
        <f t="shared" si="49"/>
        <v>2956.5099999999975</v>
      </c>
      <c r="I284" s="27">
        <f t="shared" si="49"/>
        <v>1524.8500000000026</v>
      </c>
      <c r="J284" s="27">
        <f t="shared" si="49"/>
        <v>1636.3600000000004</v>
      </c>
      <c r="K284" s="27">
        <f t="shared" si="49"/>
        <v>3322.8056920766462</v>
      </c>
      <c r="L284" s="27">
        <f t="shared" si="49"/>
        <v>5197.439357345922</v>
      </c>
      <c r="M284" s="27">
        <f t="shared" si="49"/>
        <v>7159.5872808461136</v>
      </c>
      <c r="N284" s="27">
        <f t="shared" si="49"/>
        <v>9398.351278586917</v>
      </c>
      <c r="O284" s="27">
        <f t="shared" si="49"/>
        <v>12537.021508069502</v>
      </c>
      <c r="Q284" s="35"/>
    </row>
    <row r="285" spans="2:17" x14ac:dyDescent="0.2">
      <c r="B285" s="1" t="s">
        <v>259</v>
      </c>
      <c r="F285" s="8"/>
      <c r="G285" s="8"/>
      <c r="H285" s="8"/>
      <c r="I285" s="8"/>
      <c r="J285" s="8"/>
      <c r="K285" s="27">
        <f>-K280</f>
        <v>-215.04250000000002</v>
      </c>
      <c r="L285" s="27">
        <f>-L280</f>
        <v>-498.4208538114969</v>
      </c>
      <c r="M285" s="27">
        <f>-M280</f>
        <v>-779.61590360188825</v>
      </c>
      <c r="N285" s="27">
        <f>-N280</f>
        <v>-1073.9380921269169</v>
      </c>
      <c r="O285" s="27">
        <f>-O280</f>
        <v>-1409.7526917880375</v>
      </c>
      <c r="Q285" s="35"/>
    </row>
    <row r="286" spans="2:17" x14ac:dyDescent="0.2">
      <c r="B286" s="5" t="s">
        <v>223</v>
      </c>
      <c r="C286" s="5"/>
      <c r="D286" s="5"/>
      <c r="E286" s="5"/>
      <c r="F286" s="29">
        <f>F100</f>
        <v>14769.65</v>
      </c>
      <c r="G286" s="29">
        <f>G100</f>
        <v>19065.93</v>
      </c>
      <c r="H286" s="29">
        <f>H100</f>
        <v>25032.46</v>
      </c>
      <c r="I286" s="29">
        <f>I100</f>
        <v>30607.17</v>
      </c>
      <c r="J286" s="29">
        <f>J100</f>
        <v>38462.269999999997</v>
      </c>
      <c r="K286" s="29">
        <f>SUM(K283:K285)</f>
        <v>41570.03319207664</v>
      </c>
      <c r="L286" s="29">
        <f>SUM(L283:L285)</f>
        <v>46269.051695611066</v>
      </c>
      <c r="M286" s="29">
        <f>SUM(M283:M285)</f>
        <v>52649.023072855292</v>
      </c>
      <c r="N286" s="29">
        <f>SUM(N283:N285)</f>
        <v>60973.436259315291</v>
      </c>
      <c r="O286" s="29">
        <f>SUM(O283:O285)</f>
        <v>72100.705075596765</v>
      </c>
      <c r="Q286" s="35"/>
    </row>
    <row r="287" spans="2:17" x14ac:dyDescent="0.2">
      <c r="Q287" s="35"/>
    </row>
    <row r="288" spans="2:17" x14ac:dyDescent="0.2">
      <c r="Q288" s="35"/>
    </row>
    <row r="289" spans="2:17" ht="20" x14ac:dyDescent="0.25">
      <c r="B289" s="150" t="s">
        <v>260</v>
      </c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Q289" s="35"/>
    </row>
    <row r="290" spans="2:17" x14ac:dyDescent="0.2">
      <c r="Q290" s="35"/>
    </row>
    <row r="291" spans="2:17" ht="17" thickBot="1" x14ac:dyDescent="0.25">
      <c r="B291" s="3" t="s">
        <v>58</v>
      </c>
      <c r="F291" s="4">
        <f t="shared" ref="F291:O291" si="50">F$5</f>
        <v>2022</v>
      </c>
      <c r="G291" s="4">
        <f t="shared" si="50"/>
        <v>2023</v>
      </c>
      <c r="H291" s="4">
        <f t="shared" si="50"/>
        <v>2024</v>
      </c>
      <c r="I291" s="4">
        <f t="shared" si="50"/>
        <v>2025</v>
      </c>
      <c r="J291" s="4">
        <f t="shared" si="50"/>
        <v>2026</v>
      </c>
      <c r="K291" s="16">
        <f t="shared" si="50"/>
        <v>2027</v>
      </c>
      <c r="L291" s="16">
        <f t="shared" si="50"/>
        <v>2028</v>
      </c>
      <c r="M291" s="16">
        <f t="shared" si="50"/>
        <v>2029</v>
      </c>
      <c r="N291" s="16">
        <f t="shared" si="50"/>
        <v>2030</v>
      </c>
      <c r="O291" s="16">
        <f t="shared" si="50"/>
        <v>2031</v>
      </c>
      <c r="Q291" s="35"/>
    </row>
    <row r="292" spans="2:17" x14ac:dyDescent="0.2">
      <c r="B292" s="3" t="str">
        <f>B$6</f>
        <v>Model Running: Base Case Drivers</v>
      </c>
      <c r="Q292" s="35"/>
    </row>
    <row r="293" spans="2:17" x14ac:dyDescent="0.2">
      <c r="Q293" s="35"/>
    </row>
    <row r="294" spans="2:17" x14ac:dyDescent="0.2">
      <c r="B294" s="1" t="s">
        <v>34</v>
      </c>
      <c r="F294" s="27">
        <f t="shared" ref="F294:O294" si="51">F90</f>
        <v>190181.61</v>
      </c>
      <c r="G294" s="27">
        <f t="shared" si="51"/>
        <v>239941.66</v>
      </c>
      <c r="H294" s="27">
        <f t="shared" si="51"/>
        <v>296115.09999999998</v>
      </c>
      <c r="I294" s="27">
        <f t="shared" si="51"/>
        <v>343818.65000000008</v>
      </c>
      <c r="J294" s="27">
        <f t="shared" si="51"/>
        <v>399780.09</v>
      </c>
      <c r="K294" s="27">
        <f t="shared" si="51"/>
        <v>475995.08867499995</v>
      </c>
      <c r="L294" s="27">
        <f t="shared" si="51"/>
        <v>573728.166547311</v>
      </c>
      <c r="M294" s="27">
        <f t="shared" si="51"/>
        <v>681677.82690585987</v>
      </c>
      <c r="N294" s="27">
        <f t="shared" si="51"/>
        <v>809195.65640733158</v>
      </c>
      <c r="O294" s="27">
        <f t="shared" si="51"/>
        <v>946795.40131287416</v>
      </c>
      <c r="Q294" s="35"/>
    </row>
    <row r="295" spans="2:17" x14ac:dyDescent="0.2">
      <c r="B295" s="1" t="s">
        <v>125</v>
      </c>
      <c r="F295" s="23"/>
      <c r="G295" s="23"/>
      <c r="H295" s="23"/>
      <c r="I295" s="32">
        <f>I296/I294</f>
        <v>0.8041244999362307</v>
      </c>
      <c r="J295" s="32">
        <f>J296/J294</f>
        <v>0.82775257767339039</v>
      </c>
      <c r="K295" s="46">
        <f>Inputs!K74</f>
        <v>0.83</v>
      </c>
      <c r="L295" s="46">
        <f>Inputs!L74</f>
        <v>0.83</v>
      </c>
      <c r="M295" s="46">
        <f>Inputs!M74</f>
        <v>0.83</v>
      </c>
      <c r="N295" s="46">
        <f>Inputs!N74</f>
        <v>0.83</v>
      </c>
      <c r="O295" s="46">
        <f>Inputs!O74</f>
        <v>0.83</v>
      </c>
      <c r="Q295" s="35" t="s">
        <v>266</v>
      </c>
    </row>
    <row r="296" spans="2:17" x14ac:dyDescent="0.2">
      <c r="B296" s="1" t="s">
        <v>52</v>
      </c>
      <c r="F296" s="8"/>
      <c r="G296" s="8"/>
      <c r="H296" s="8"/>
      <c r="I296" s="26">
        <f>Historicals!I61</f>
        <v>276473</v>
      </c>
      <c r="J296" s="26">
        <f>Historicals!J61</f>
        <v>330919</v>
      </c>
      <c r="K296" s="27">
        <f>K294*K295</f>
        <v>395075.92360024992</v>
      </c>
      <c r="L296" s="27">
        <f>L294*L295</f>
        <v>476194.37823426811</v>
      </c>
      <c r="M296" s="27">
        <f>M294*M295</f>
        <v>565792.59633186366</v>
      </c>
      <c r="N296" s="27">
        <f>N294*N295</f>
        <v>671632.39481808513</v>
      </c>
      <c r="O296" s="27">
        <f>O294*O295</f>
        <v>785840.18308968551</v>
      </c>
      <c r="Q296" s="35"/>
    </row>
    <row r="297" spans="2:17" x14ac:dyDescent="0.2">
      <c r="B297" s="1" t="s">
        <v>261</v>
      </c>
      <c r="F297" s="27">
        <f t="shared" ref="F297:O297" si="52">F101</f>
        <v>21003.48</v>
      </c>
      <c r="G297" s="27">
        <f t="shared" si="52"/>
        <v>25721.17</v>
      </c>
      <c r="H297" s="27">
        <f t="shared" si="52"/>
        <v>32161.309999999998</v>
      </c>
      <c r="I297" s="27">
        <f t="shared" si="52"/>
        <v>38078</v>
      </c>
      <c r="J297" s="27">
        <f t="shared" si="52"/>
        <v>47351.839999999997</v>
      </c>
      <c r="K297" s="27">
        <f t="shared" si="52"/>
        <v>50459.60319207664</v>
      </c>
      <c r="L297" s="27">
        <f t="shared" si="52"/>
        <v>62658.621695611066</v>
      </c>
      <c r="M297" s="27">
        <f t="shared" si="52"/>
        <v>69038.593072855292</v>
      </c>
      <c r="N297" s="27">
        <f t="shared" si="52"/>
        <v>87363.006259315298</v>
      </c>
      <c r="O297" s="27">
        <f t="shared" si="52"/>
        <v>98490.275075596757</v>
      </c>
      <c r="Q297" s="35"/>
    </row>
    <row r="298" spans="2:17" x14ac:dyDescent="0.2">
      <c r="B298" s="1" t="s">
        <v>127</v>
      </c>
      <c r="F298" s="23"/>
      <c r="G298" s="23"/>
      <c r="H298" s="23"/>
      <c r="I298" s="32">
        <f>1-I299/I297</f>
        <v>4.3332107778769946E-2</v>
      </c>
      <c r="J298" s="32">
        <f>1-J299/J297</f>
        <v>4.0649740326880623E-2</v>
      </c>
      <c r="K298" s="46">
        <f>Inputs!K75</f>
        <v>4.2000000000000003E-2</v>
      </c>
      <c r="L298" s="46">
        <f>Inputs!L75</f>
        <v>4.2000000000000003E-2</v>
      </c>
      <c r="M298" s="46">
        <f>Inputs!M75</f>
        <v>4.2000000000000003E-2</v>
      </c>
      <c r="N298" s="46">
        <f>Inputs!N75</f>
        <v>4.2000000000000003E-2</v>
      </c>
      <c r="O298" s="46">
        <f>Inputs!O75</f>
        <v>4.2000000000000003E-2</v>
      </c>
      <c r="Q298" s="35"/>
    </row>
    <row r="299" spans="2:17" x14ac:dyDescent="0.2">
      <c r="B299" s="1" t="s">
        <v>53</v>
      </c>
      <c r="F299" s="8"/>
      <c r="G299" s="8"/>
      <c r="H299" s="8"/>
      <c r="I299" s="26">
        <f>Historicals!I62</f>
        <v>36428</v>
      </c>
      <c r="J299" s="26">
        <f>Historicals!J62</f>
        <v>45427</v>
      </c>
      <c r="K299" s="27">
        <f>K297*(1-K298)</f>
        <v>48340.299858009421</v>
      </c>
      <c r="L299" s="27">
        <f>L297*(1-L298)</f>
        <v>60026.959584395401</v>
      </c>
      <c r="M299" s="27">
        <f>M297*(1-M298)</f>
        <v>66138.972163795363</v>
      </c>
      <c r="N299" s="27">
        <f>N297*(1-N298)</f>
        <v>83693.759996424051</v>
      </c>
      <c r="O299" s="27">
        <f>O297*(1-O298)</f>
        <v>94353.683522421692</v>
      </c>
      <c r="Q299" s="35"/>
    </row>
    <row r="300" spans="2:17" x14ac:dyDescent="0.2">
      <c r="B300" s="1" t="s">
        <v>54</v>
      </c>
      <c r="F300" s="8"/>
      <c r="G300" s="8"/>
      <c r="H300" s="8"/>
      <c r="I300" s="26">
        <f>Historicals!I63</f>
        <v>6381</v>
      </c>
      <c r="J300" s="26">
        <f>Historicals!J63</f>
        <v>6186</v>
      </c>
      <c r="K300" s="26">
        <f>J300+Inputs!K73</f>
        <v>6186</v>
      </c>
      <c r="L300" s="26">
        <f>K300+Inputs!L73</f>
        <v>6186</v>
      </c>
      <c r="M300" s="26">
        <f>L300+Inputs!M73</f>
        <v>6186</v>
      </c>
      <c r="N300" s="26">
        <f>M300+Inputs!N73</f>
        <v>6186</v>
      </c>
      <c r="O300" s="26">
        <f>N300+Inputs!O73</f>
        <v>6186</v>
      </c>
      <c r="Q300" s="35"/>
    </row>
    <row r="301" spans="2:17" x14ac:dyDescent="0.2">
      <c r="B301" s="5" t="s">
        <v>262</v>
      </c>
      <c r="C301" s="5"/>
      <c r="D301" s="5"/>
      <c r="E301" s="5"/>
      <c r="F301" s="10"/>
      <c r="G301" s="10"/>
      <c r="H301" s="10"/>
      <c r="I301" s="29">
        <f t="shared" ref="I301:O301" si="53">I299+I300</f>
        <v>42809</v>
      </c>
      <c r="J301" s="29">
        <f t="shared" si="53"/>
        <v>51613</v>
      </c>
      <c r="K301" s="29">
        <f t="shared" si="53"/>
        <v>54526.299858009421</v>
      </c>
      <c r="L301" s="29">
        <f t="shared" si="53"/>
        <v>66212.959584395401</v>
      </c>
      <c r="M301" s="29">
        <f t="shared" si="53"/>
        <v>72324.972163795363</v>
      </c>
      <c r="N301" s="29">
        <f t="shared" si="53"/>
        <v>89879.759996424051</v>
      </c>
      <c r="O301" s="29">
        <f t="shared" si="53"/>
        <v>100539.68352242169</v>
      </c>
    </row>
    <row r="302" spans="2:17" x14ac:dyDescent="0.2">
      <c r="B302" s="5" t="s">
        <v>51</v>
      </c>
      <c r="C302" s="5"/>
      <c r="D302" s="5"/>
      <c r="E302" s="5"/>
      <c r="F302" s="21"/>
      <c r="G302" s="21"/>
      <c r="H302" s="21"/>
      <c r="I302" s="49">
        <f t="shared" ref="I302:O302" si="54">I299/I296</f>
        <v>0.13175970167068754</v>
      </c>
      <c r="J302" s="49">
        <f t="shared" si="54"/>
        <v>0.13727528488844704</v>
      </c>
      <c r="K302" s="49">
        <f t="shared" si="54"/>
        <v>0.12235698753164628</v>
      </c>
      <c r="L302" s="49">
        <f t="shared" si="54"/>
        <v>0.12605558219098631</v>
      </c>
      <c r="M302" s="49">
        <f t="shared" si="54"/>
        <v>0.11689614284914004</v>
      </c>
      <c r="N302" s="49">
        <f t="shared" si="54"/>
        <v>0.12461245264843562</v>
      </c>
      <c r="O302" s="49">
        <f t="shared" si="54"/>
        <v>0.12006726755999114</v>
      </c>
    </row>
    <row r="303" spans="2:17" x14ac:dyDescent="0.2">
      <c r="B303" s="5" t="s">
        <v>263</v>
      </c>
      <c r="C303" s="5"/>
      <c r="D303" s="5"/>
      <c r="E303" s="5"/>
      <c r="F303" s="50">
        <f>Historicals!F58</f>
        <v>0.16739999999999999</v>
      </c>
      <c r="G303" s="50">
        <f>Historicals!G58</f>
        <v>0.16819999999999999</v>
      </c>
      <c r="H303" s="50">
        <f>Historicals!H58</f>
        <v>0.16109999999999999</v>
      </c>
      <c r="I303" s="50">
        <f>Historicals!I58</f>
        <v>0.15479999999999999</v>
      </c>
      <c r="J303" s="50">
        <f>Historicals!J58</f>
        <v>0.156</v>
      </c>
      <c r="K303" s="49">
        <f>K301/K296</f>
        <v>0.13801473742343465</v>
      </c>
      <c r="L303" s="49">
        <f>L301/L296</f>
        <v>0.13904607574308939</v>
      </c>
      <c r="M303" s="49">
        <f>M301/M296</f>
        <v>0.12782947785582793</v>
      </c>
      <c r="N303" s="49">
        <f>N301/N296</f>
        <v>0.13382284816796011</v>
      </c>
      <c r="O303" s="49">
        <f>O301/O296</f>
        <v>0.12793909714202972</v>
      </c>
    </row>
    <row r="304" spans="2:17" x14ac:dyDescent="0.2">
      <c r="B304" s="1" t="s">
        <v>129</v>
      </c>
      <c r="F304" s="24"/>
      <c r="G304" s="24"/>
      <c r="H304" s="24"/>
      <c r="I304" s="24"/>
      <c r="J304" s="24"/>
      <c r="K304" s="47">
        <f>Inputs!K76</f>
        <v>0.08</v>
      </c>
      <c r="L304" s="47">
        <f>Inputs!L76</f>
        <v>0.08</v>
      </c>
      <c r="M304" s="47">
        <f>Inputs!M76</f>
        <v>0.08</v>
      </c>
      <c r="N304" s="47">
        <f>Inputs!N76</f>
        <v>0.08</v>
      </c>
      <c r="O304" s="47">
        <f>Inputs!O76</f>
        <v>0.08</v>
      </c>
    </row>
    <row r="305" spans="2:15" x14ac:dyDescent="0.2">
      <c r="B305" s="1" t="s">
        <v>131</v>
      </c>
      <c r="F305" s="24"/>
      <c r="G305" s="24"/>
      <c r="H305" s="24"/>
      <c r="I305" s="24"/>
      <c r="J305" s="24"/>
      <c r="K305" s="47">
        <f>Inputs!K77</f>
        <v>0.115</v>
      </c>
      <c r="L305" s="47">
        <f>Inputs!L77</f>
        <v>0.115</v>
      </c>
      <c r="M305" s="47">
        <f>Inputs!M77</f>
        <v>0.115</v>
      </c>
      <c r="N305" s="47">
        <f>Inputs!N77</f>
        <v>0.115</v>
      </c>
      <c r="O305" s="47">
        <f>Inputs!O77</f>
        <v>0.115</v>
      </c>
    </row>
    <row r="306" spans="2:15" x14ac:dyDescent="0.2">
      <c r="B306" s="1" t="s">
        <v>264</v>
      </c>
      <c r="F306" s="24"/>
      <c r="G306" s="24"/>
      <c r="H306" s="24"/>
      <c r="I306" s="24"/>
      <c r="J306" s="24"/>
      <c r="K306" s="31">
        <f t="shared" ref="K306:O307" si="55">K302-K304</f>
        <v>4.2356987531646281E-2</v>
      </c>
      <c r="L306" s="31">
        <f t="shared" si="55"/>
        <v>4.6055582190986308E-2</v>
      </c>
      <c r="M306" s="31">
        <f t="shared" si="55"/>
        <v>3.6896142849140043E-2</v>
      </c>
      <c r="N306" s="31">
        <f t="shared" si="55"/>
        <v>4.4612452648435622E-2</v>
      </c>
      <c r="O306" s="31">
        <f t="shared" si="55"/>
        <v>4.006726755999114E-2</v>
      </c>
    </row>
    <row r="307" spans="2:15" x14ac:dyDescent="0.2">
      <c r="B307" s="1" t="s">
        <v>265</v>
      </c>
      <c r="F307" s="24"/>
      <c r="G307" s="24"/>
      <c r="H307" s="24"/>
      <c r="I307" s="24"/>
      <c r="J307" s="24"/>
      <c r="K307" s="31">
        <f t="shared" si="55"/>
        <v>2.3014737423434642E-2</v>
      </c>
      <c r="L307" s="31">
        <f t="shared" si="55"/>
        <v>2.4046075743089382E-2</v>
      </c>
      <c r="M307" s="31">
        <f t="shared" si="55"/>
        <v>1.2829477855827928E-2</v>
      </c>
      <c r="N307" s="31">
        <f t="shared" si="55"/>
        <v>1.8822848167960107E-2</v>
      </c>
      <c r="O307" s="31">
        <f t="shared" si="55"/>
        <v>1.2939097142029718E-2</v>
      </c>
    </row>
    <row r="310" spans="2:15" ht="20" x14ac:dyDescent="0.25">
      <c r="B310" s="150" t="s">
        <v>267</v>
      </c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</row>
    <row r="312" spans="2:15" ht="17" thickBot="1" x14ac:dyDescent="0.25">
      <c r="B312" s="3" t="s">
        <v>268</v>
      </c>
      <c r="F312" s="51">
        <f t="shared" ref="F312:O312" si="56">F$5</f>
        <v>2022</v>
      </c>
      <c r="G312" s="51">
        <f t="shared" si="56"/>
        <v>2023</v>
      </c>
      <c r="H312" s="51">
        <f t="shared" si="56"/>
        <v>2024</v>
      </c>
      <c r="I312" s="51">
        <f t="shared" si="56"/>
        <v>2025</v>
      </c>
      <c r="J312" s="51">
        <f t="shared" si="56"/>
        <v>2026</v>
      </c>
      <c r="K312" s="52">
        <f t="shared" si="56"/>
        <v>2027</v>
      </c>
      <c r="L312" s="52">
        <f t="shared" si="56"/>
        <v>2028</v>
      </c>
      <c r="M312" s="52">
        <f t="shared" si="56"/>
        <v>2029</v>
      </c>
      <c r="N312" s="52">
        <f t="shared" si="56"/>
        <v>2030</v>
      </c>
      <c r="O312" s="52">
        <f t="shared" si="56"/>
        <v>2031</v>
      </c>
    </row>
    <row r="315" spans="2:15" x14ac:dyDescent="0.2">
      <c r="B315" s="1" t="s">
        <v>269</v>
      </c>
      <c r="F315" s="53">
        <f t="shared" ref="F315:O315" si="57">IF(F105&lt;&gt;0,1,0)</f>
        <v>0</v>
      </c>
      <c r="G315" s="53">
        <f t="shared" si="57"/>
        <v>0</v>
      </c>
      <c r="H315" s="53">
        <f t="shared" si="57"/>
        <v>0</v>
      </c>
      <c r="I315" s="53">
        <f t="shared" si="57"/>
        <v>0</v>
      </c>
      <c r="J315" s="53">
        <f t="shared" si="57"/>
        <v>0</v>
      </c>
      <c r="K315" s="53">
        <f t="shared" si="57"/>
        <v>0</v>
      </c>
      <c r="L315" s="53">
        <f t="shared" si="57"/>
        <v>0</v>
      </c>
      <c r="M315" s="53">
        <f t="shared" si="57"/>
        <v>0</v>
      </c>
      <c r="N315" s="53">
        <f t="shared" si="57"/>
        <v>0</v>
      </c>
      <c r="O315" s="53">
        <f t="shared" si="57"/>
        <v>0</v>
      </c>
    </row>
    <row r="316" spans="2:15" x14ac:dyDescent="0.2">
      <c r="B316" s="1" t="s">
        <v>270</v>
      </c>
      <c r="F316" s="53">
        <f t="shared" ref="F316:O316" si="58">IF(ROUND(F75-F84-F85,0)&lt;&gt;0,1,0)</f>
        <v>0</v>
      </c>
      <c r="G316" s="53">
        <f t="shared" si="58"/>
        <v>0</v>
      </c>
      <c r="H316" s="53">
        <f t="shared" si="58"/>
        <v>0</v>
      </c>
      <c r="I316" s="53">
        <f t="shared" si="58"/>
        <v>0</v>
      </c>
      <c r="J316" s="53">
        <f t="shared" si="58"/>
        <v>0</v>
      </c>
      <c r="K316" s="53">
        <f t="shared" si="58"/>
        <v>0</v>
      </c>
      <c r="L316" s="53">
        <f t="shared" si="58"/>
        <v>0</v>
      </c>
      <c r="M316" s="53">
        <f t="shared" si="58"/>
        <v>0</v>
      </c>
      <c r="N316" s="53">
        <f t="shared" si="58"/>
        <v>0</v>
      </c>
      <c r="O316" s="53">
        <f t="shared" si="58"/>
        <v>0</v>
      </c>
    </row>
    <row r="317" spans="2:15" x14ac:dyDescent="0.2">
      <c r="B317" s="1" t="s">
        <v>271</v>
      </c>
      <c r="F317" s="53"/>
      <c r="G317" s="53"/>
      <c r="H317" s="53"/>
      <c r="I317" s="53"/>
      <c r="J317" s="53"/>
      <c r="K317" s="53">
        <f>IF(ROUND(K100-(J100+K30-K280),0)&lt;&gt;0,1,0)</f>
        <v>0</v>
      </c>
      <c r="L317" s="53">
        <f>IF(ROUND(L100-(K100+L30-L280),0)&lt;&gt;0,1,0)</f>
        <v>0</v>
      </c>
      <c r="M317" s="53">
        <f>IF(ROUND(M100-(L100+M30-M280),0)&lt;&gt;0,1,0)</f>
        <v>0</v>
      </c>
      <c r="N317" s="53">
        <f>IF(ROUND(N100-(M100+N30-N280),0)&lt;&gt;0,1,0)</f>
        <v>0</v>
      </c>
      <c r="O317" s="53">
        <f>IF(ROUND(O100-(N100+O30-O280),0)&lt;&gt;0,1,0)</f>
        <v>0</v>
      </c>
    </row>
    <row r="318" spans="2:15" x14ac:dyDescent="0.2">
      <c r="B318" s="1" t="s">
        <v>272</v>
      </c>
      <c r="F318" s="53">
        <f t="shared" ref="F318:O318" si="59">IF(ROUND(F87-F115,0)&lt;&gt;0,1,0)</f>
        <v>0</v>
      </c>
      <c r="G318" s="53">
        <f t="shared" si="59"/>
        <v>0</v>
      </c>
      <c r="H318" s="53">
        <f t="shared" si="59"/>
        <v>0</v>
      </c>
      <c r="I318" s="53">
        <f t="shared" si="59"/>
        <v>0</v>
      </c>
      <c r="J318" s="53">
        <f t="shared" si="59"/>
        <v>0</v>
      </c>
      <c r="K318" s="53">
        <f t="shared" si="59"/>
        <v>0</v>
      </c>
      <c r="L318" s="53">
        <f t="shared" si="59"/>
        <v>0</v>
      </c>
      <c r="M318" s="53">
        <f t="shared" si="59"/>
        <v>0</v>
      </c>
      <c r="N318" s="53">
        <f t="shared" si="59"/>
        <v>0</v>
      </c>
      <c r="O318" s="53">
        <f t="shared" si="59"/>
        <v>0</v>
      </c>
    </row>
    <row r="319" spans="2:15" x14ac:dyDescent="0.2">
      <c r="B319" s="1" t="s">
        <v>273</v>
      </c>
      <c r="F319" s="53">
        <f t="shared" ref="F319:O319" si="60">IF(ROUND(F93-F138,0)&lt;&gt;0,1,0)</f>
        <v>0</v>
      </c>
      <c r="G319" s="53">
        <f t="shared" si="60"/>
        <v>0</v>
      </c>
      <c r="H319" s="53">
        <f t="shared" si="60"/>
        <v>0</v>
      </c>
      <c r="I319" s="53">
        <f t="shared" si="60"/>
        <v>0</v>
      </c>
      <c r="J319" s="53">
        <f t="shared" si="60"/>
        <v>0</v>
      </c>
      <c r="K319" s="53">
        <f t="shared" si="60"/>
        <v>0</v>
      </c>
      <c r="L319" s="53">
        <f t="shared" si="60"/>
        <v>0</v>
      </c>
      <c r="M319" s="53">
        <f t="shared" si="60"/>
        <v>0</v>
      </c>
      <c r="N319" s="53">
        <f t="shared" si="60"/>
        <v>0</v>
      </c>
      <c r="O319" s="53">
        <f t="shared" si="60"/>
        <v>0</v>
      </c>
    </row>
    <row r="320" spans="2:15" x14ac:dyDescent="0.2">
      <c r="B320" s="1" t="s">
        <v>274</v>
      </c>
      <c r="F320" s="53">
        <f t="shared" ref="F320:O320" si="61">IF(ROUND(F94-F147-F180,0)&lt;&gt;0,1,0)</f>
        <v>0</v>
      </c>
      <c r="G320" s="53">
        <f t="shared" si="61"/>
        <v>0</v>
      </c>
      <c r="H320" s="53">
        <f t="shared" si="61"/>
        <v>0</v>
      </c>
      <c r="I320" s="53">
        <f t="shared" si="61"/>
        <v>0</v>
      </c>
      <c r="J320" s="53">
        <f t="shared" si="61"/>
        <v>0</v>
      </c>
      <c r="K320" s="53">
        <f t="shared" si="61"/>
        <v>0</v>
      </c>
      <c r="L320" s="53">
        <f t="shared" si="61"/>
        <v>0</v>
      </c>
      <c r="M320" s="53">
        <f t="shared" si="61"/>
        <v>0</v>
      </c>
      <c r="N320" s="53">
        <f t="shared" si="61"/>
        <v>0</v>
      </c>
      <c r="O320" s="53">
        <f t="shared" si="61"/>
        <v>0</v>
      </c>
    </row>
    <row r="321" spans="2:15" x14ac:dyDescent="0.2">
      <c r="B321" s="1" t="s">
        <v>275</v>
      </c>
      <c r="F321" s="53">
        <f>IF(ROUND(F30-Historicals!F20,0)&lt;&gt;0,1,0)</f>
        <v>0</v>
      </c>
      <c r="G321" s="53">
        <f>IF(ROUND(G30-Historicals!G20,0)&lt;&gt;0,1,0)</f>
        <v>0</v>
      </c>
      <c r="H321" s="53">
        <f>IF(ROUND(H30-Historicals!H20,0)&lt;&gt;0,1,0)</f>
        <v>0</v>
      </c>
      <c r="I321" s="53">
        <f>IF(ROUND(I30-Historicals!I20,0)&lt;&gt;0,1,0)</f>
        <v>0</v>
      </c>
      <c r="J321" s="53">
        <f>IF(ROUND(J30-Historicals!J20,0)&lt;&gt;0,1,0)</f>
        <v>0</v>
      </c>
      <c r="K321" s="53"/>
      <c r="L321" s="53"/>
      <c r="M321" s="53"/>
      <c r="N321" s="53"/>
      <c r="O321" s="53"/>
    </row>
    <row r="322" spans="2:15" x14ac:dyDescent="0.2">
      <c r="B322" s="1" t="s">
        <v>276</v>
      </c>
      <c r="F322" s="53">
        <f>IF(ROUND(F90-Historicals!F37,0)&lt;&gt;0,1,0)</f>
        <v>0</v>
      </c>
      <c r="G322" s="53">
        <f>IF(ROUND(G90-Historicals!G37,0)&lt;&gt;0,1,0)</f>
        <v>0</v>
      </c>
      <c r="H322" s="53">
        <f>IF(ROUND(H90-Historicals!H37,0)&lt;&gt;0,1,0)</f>
        <v>0</v>
      </c>
      <c r="I322" s="53">
        <f>IF(ROUND(I90-Historicals!I37,0)&lt;&gt;0,1,0)</f>
        <v>0</v>
      </c>
      <c r="J322" s="53">
        <f>IF(ROUND(J90-Historicals!J37,0)&lt;&gt;0,1,0)</f>
        <v>0</v>
      </c>
      <c r="K322" s="53"/>
      <c r="L322" s="53"/>
      <c r="M322" s="53"/>
      <c r="N322" s="53"/>
      <c r="O322" s="53"/>
    </row>
    <row r="323" spans="2:15" x14ac:dyDescent="0.2">
      <c r="B323" s="1" t="s">
        <v>277</v>
      </c>
      <c r="F323" s="53"/>
      <c r="G323" s="53"/>
      <c r="H323" s="53"/>
      <c r="I323" s="53"/>
      <c r="J323" s="53"/>
      <c r="K323" s="53">
        <f>IF(OR(K302&lt;K304,K303&lt;K305),1,0)</f>
        <v>0</v>
      </c>
      <c r="L323" s="53">
        <f>IF(OR(L302&lt;L304,L303&lt;L305),1,0)</f>
        <v>0</v>
      </c>
      <c r="M323" s="53">
        <f>IF(OR(M302&lt;M304,M303&lt;M305),1,0)</f>
        <v>0</v>
      </c>
      <c r="N323" s="53">
        <f>IF(OR(N302&lt;N304,N303&lt;N305),1,0)</f>
        <v>0</v>
      </c>
      <c r="O323" s="53">
        <f>IF(OR(O302&lt;O304,O303&lt;O305),1,0)</f>
        <v>0</v>
      </c>
    </row>
    <row r="324" spans="2:15" x14ac:dyDescent="0.2">
      <c r="B324" s="1" t="s">
        <v>278</v>
      </c>
      <c r="F324" s="53">
        <f t="shared" ref="F324:O324" si="62">IF(F85&lt;0,1,0)</f>
        <v>0</v>
      </c>
      <c r="G324" s="53">
        <f t="shared" si="62"/>
        <v>0</v>
      </c>
      <c r="H324" s="53">
        <f t="shared" si="62"/>
        <v>0</v>
      </c>
      <c r="I324" s="53">
        <f t="shared" si="62"/>
        <v>0</v>
      </c>
      <c r="J324" s="53">
        <f t="shared" si="62"/>
        <v>0</v>
      </c>
      <c r="K324" s="53">
        <f t="shared" si="62"/>
        <v>0</v>
      </c>
      <c r="L324" s="53">
        <f t="shared" si="62"/>
        <v>0</v>
      </c>
      <c r="M324" s="53">
        <f t="shared" si="62"/>
        <v>0</v>
      </c>
      <c r="N324" s="53">
        <f t="shared" si="62"/>
        <v>0</v>
      </c>
      <c r="O324" s="53">
        <f t="shared" si="62"/>
        <v>0</v>
      </c>
    </row>
    <row r="325" spans="2:15" x14ac:dyDescent="0.2">
      <c r="B325" s="1" t="s">
        <v>279</v>
      </c>
      <c r="F325" s="53"/>
      <c r="G325" s="53"/>
      <c r="H325" s="53"/>
      <c r="I325" s="53"/>
      <c r="J325" s="53"/>
      <c r="K325" s="53" cm="1">
        <f t="array" ref="K325">SUMPRODUCT(--NOT(_xlfn.ISFORMULA(K9:K105)),--(K9:K105&lt;&gt;""))</f>
        <v>0</v>
      </c>
      <c r="L325" s="53" cm="1">
        <f t="array" ref="L325">SUMPRODUCT(--NOT(_xlfn.ISFORMULA(L9:L105)),--(L9:L105&lt;&gt;""))</f>
        <v>0</v>
      </c>
      <c r="M325" s="53" cm="1">
        <f t="array" ref="M325">SUMPRODUCT(--NOT(_xlfn.ISFORMULA(M9:M105)),--(M9:M105&lt;&gt;""))</f>
        <v>0</v>
      </c>
      <c r="N325" s="53" cm="1">
        <f t="array" ref="N325">SUMPRODUCT(--NOT(_xlfn.ISFORMULA(N9:N105)),--(N9:N105&lt;&gt;""))</f>
        <v>0</v>
      </c>
      <c r="O325" s="53" cm="1">
        <f t="array" ref="O325">SUMPRODUCT(--NOT(_xlfn.ISFORMULA(O9:O105)),--(O9:O105&lt;&gt;""))</f>
        <v>0</v>
      </c>
    </row>
    <row r="326" spans="2:15" x14ac:dyDescent="0.2">
      <c r="B326" s="1" t="s">
        <v>280</v>
      </c>
      <c r="F326" s="53" cm="1">
        <f t="array" ref="F326">SUMPRODUCT(--ISERROR(F9:F307))</f>
        <v>0</v>
      </c>
      <c r="G326" s="53" cm="1">
        <f t="array" ref="G326">SUMPRODUCT(--ISERROR(G9:G307))</f>
        <v>0</v>
      </c>
      <c r="H326" s="53" cm="1">
        <f t="array" ref="H326">SUMPRODUCT(--ISERROR(H9:H307))</f>
        <v>0</v>
      </c>
      <c r="I326" s="53" cm="1">
        <f t="array" ref="I326">SUMPRODUCT(--ISERROR(I9:I307))</f>
        <v>0</v>
      </c>
      <c r="J326" s="53" cm="1">
        <f t="array" ref="J326">SUMPRODUCT(--ISERROR(J9:J307))</f>
        <v>0</v>
      </c>
      <c r="K326" s="53" cm="1">
        <f t="array" ref="K326">SUMPRODUCT(--ISERROR(K9:K307))</f>
        <v>0</v>
      </c>
      <c r="L326" s="53" cm="1">
        <f t="array" ref="L326">SUMPRODUCT(--ISERROR(L9:L307))</f>
        <v>0</v>
      </c>
      <c r="M326" s="53" cm="1">
        <f t="array" ref="M326">SUMPRODUCT(--ISERROR(M9:M307))</f>
        <v>0</v>
      </c>
      <c r="N326" s="53" cm="1">
        <f t="array" ref="N326">SUMPRODUCT(--ISERROR(N9:N307))</f>
        <v>0</v>
      </c>
      <c r="O326" s="53" cm="1">
        <f t="array" ref="O326">SUMPRODUCT(--ISERROR(O9:O307))</f>
        <v>0</v>
      </c>
    </row>
    <row r="328" spans="2:15" ht="17" thickBot="1" x14ac:dyDescent="0.25">
      <c r="B328" s="5" t="s">
        <v>281</v>
      </c>
      <c r="F328" s="54">
        <f>SUM(F315:O326)</f>
        <v>0</v>
      </c>
    </row>
    <row r="329" spans="2:15" ht="17" thickTop="1" x14ac:dyDescent="0.2"/>
  </sheetData>
  <conditionalFormatting sqref="F315:O32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4A26-F077-7043-9374-55234358639C}">
  <sheetPr>
    <tabColor rgb="FF9C1D26"/>
  </sheetPr>
  <dimension ref="A3:Q110"/>
  <sheetViews>
    <sheetView showGridLines="0" workbookViewId="0">
      <pane ySplit="5" topLeftCell="A6" activePane="bottomLeft" state="frozen"/>
      <selection pane="bottomLeft" activeCell="G111" sqref="G111"/>
    </sheetView>
  </sheetViews>
  <sheetFormatPr baseColWidth="10" defaultRowHeight="16" x14ac:dyDescent="0.2"/>
  <cols>
    <col min="1" max="1" width="2.5" style="1" customWidth="1"/>
    <col min="2" max="2" width="43.33203125" style="1" customWidth="1"/>
    <col min="3" max="3" width="2" style="1" customWidth="1"/>
    <col min="4" max="4" width="7.33203125" style="1" bestFit="1" customWidth="1"/>
    <col min="5" max="5" width="6" style="1" bestFit="1" customWidth="1"/>
    <col min="6" max="6" width="11.33203125" style="1" bestFit="1" customWidth="1"/>
    <col min="7" max="15" width="10.33203125" style="1" customWidth="1"/>
    <col min="16" max="16" width="1.6640625" style="1" customWidth="1"/>
    <col min="17" max="17" width="60" style="1" customWidth="1"/>
  </cols>
  <sheetData>
    <row r="3" spans="2:17" ht="20" x14ac:dyDescent="0.25">
      <c r="B3" s="150" t="s">
        <v>336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</row>
    <row r="5" spans="2:17" ht="17" thickBot="1" x14ac:dyDescent="0.25">
      <c r="B5" s="3" t="s">
        <v>58</v>
      </c>
      <c r="F5" s="4">
        <f>Model!F$5</f>
        <v>2022</v>
      </c>
      <c r="G5" s="4">
        <f>Model!G$5</f>
        <v>2023</v>
      </c>
      <c r="H5" s="4">
        <f>Model!H$5</f>
        <v>2024</v>
      </c>
      <c r="I5" s="4">
        <f>Model!I$5</f>
        <v>2025</v>
      </c>
      <c r="J5" s="4">
        <f>Model!J$5</f>
        <v>2026</v>
      </c>
      <c r="K5" s="16">
        <f>Model!K$5</f>
        <v>2027</v>
      </c>
      <c r="L5" s="16">
        <f>Model!L$5</f>
        <v>2028</v>
      </c>
      <c r="M5" s="16">
        <f>Model!M$5</f>
        <v>2029</v>
      </c>
      <c r="N5" s="16">
        <f>Model!N$5</f>
        <v>2030</v>
      </c>
      <c r="O5" s="16">
        <f>Model!O$5</f>
        <v>2031</v>
      </c>
      <c r="Q5" s="5" t="s">
        <v>337</v>
      </c>
    </row>
    <row r="6" spans="2:17" x14ac:dyDescent="0.2">
      <c r="B6" s="3" t="str">
        <f>Model!B6</f>
        <v>Model Running: Base Case Drivers</v>
      </c>
    </row>
    <row r="8" spans="2:17" x14ac:dyDescent="0.2">
      <c r="B8" s="5" t="s">
        <v>338</v>
      </c>
    </row>
    <row r="9" spans="2:17" x14ac:dyDescent="0.2">
      <c r="B9" s="3" t="s">
        <v>339</v>
      </c>
    </row>
    <row r="10" spans="2:17" x14ac:dyDescent="0.2">
      <c r="B10" s="3" t="s">
        <v>340</v>
      </c>
    </row>
    <row r="11" spans="2:17" x14ac:dyDescent="0.2">
      <c r="B11" s="3" t="s">
        <v>341</v>
      </c>
    </row>
    <row r="12" spans="2:17" x14ac:dyDescent="0.2">
      <c r="B12" s="3" t="s">
        <v>342</v>
      </c>
    </row>
    <row r="14" spans="2:17" x14ac:dyDescent="0.2">
      <c r="B14" s="5" t="s">
        <v>343</v>
      </c>
    </row>
    <row r="15" spans="2:17" x14ac:dyDescent="0.2">
      <c r="B15" s="1" t="s">
        <v>344</v>
      </c>
      <c r="F15" s="66">
        <v>46308</v>
      </c>
      <c r="Q15" s="1" t="s">
        <v>345</v>
      </c>
    </row>
    <row r="16" spans="2:17" x14ac:dyDescent="0.2">
      <c r="B16" s="1" t="s">
        <v>346</v>
      </c>
      <c r="F16" s="67">
        <f>DATE(Model!$J$5,3,31)</f>
        <v>46112</v>
      </c>
      <c r="Q16" s="1" t="s">
        <v>347</v>
      </c>
    </row>
    <row r="17" spans="2:17" x14ac:dyDescent="0.2">
      <c r="B17" s="1" t="s">
        <v>348</v>
      </c>
      <c r="D17" s="1" t="s">
        <v>349</v>
      </c>
      <c r="F17" s="143">
        <f>'Comparable Company Analysis'!$F$11</f>
        <v>78.83</v>
      </c>
      <c r="Q17" s="1" t="s">
        <v>617</v>
      </c>
    </row>
    <row r="18" spans="2:17" x14ac:dyDescent="0.2">
      <c r="B18" s="1" t="s">
        <v>350</v>
      </c>
      <c r="D18" s="1" t="s">
        <v>349</v>
      </c>
      <c r="F18" s="71">
        <v>10</v>
      </c>
      <c r="Q18" s="1" t="s">
        <v>351</v>
      </c>
    </row>
    <row r="19" spans="2:17" x14ac:dyDescent="0.2">
      <c r="B19" s="1" t="s">
        <v>352</v>
      </c>
      <c r="D19" s="1" t="s">
        <v>353</v>
      </c>
      <c r="F19" s="73">
        <f>Historicals!$J$24/$F$18</f>
        <v>860.17000000000007</v>
      </c>
      <c r="Q19" s="1" t="s">
        <v>354</v>
      </c>
    </row>
    <row r="20" spans="2:17" x14ac:dyDescent="0.2">
      <c r="B20" s="1" t="s">
        <v>355</v>
      </c>
      <c r="D20" s="1" t="s">
        <v>349</v>
      </c>
      <c r="F20" s="72">
        <v>0.25</v>
      </c>
      <c r="Q20" s="1" t="s">
        <v>356</v>
      </c>
    </row>
    <row r="21" spans="2:17" x14ac:dyDescent="0.2">
      <c r="B21" s="1" t="s">
        <v>357</v>
      </c>
      <c r="D21" s="1" t="s">
        <v>358</v>
      </c>
      <c r="F21" s="144">
        <f>IF($F$17="","",$F$17)</f>
        <v>78.83</v>
      </c>
      <c r="Q21" s="1" t="s">
        <v>359</v>
      </c>
    </row>
    <row r="23" spans="2:17" x14ac:dyDescent="0.2">
      <c r="B23" s="5" t="s">
        <v>360</v>
      </c>
    </row>
    <row r="24" spans="2:17" x14ac:dyDescent="0.2">
      <c r="B24" s="1" t="s">
        <v>361</v>
      </c>
      <c r="F24" s="78">
        <v>7.3499999999999996E-2</v>
      </c>
      <c r="Q24" s="1" t="s">
        <v>362</v>
      </c>
    </row>
    <row r="25" spans="2:17" x14ac:dyDescent="0.2">
      <c r="B25" s="1" t="s">
        <v>363</v>
      </c>
      <c r="F25" s="77">
        <v>1.1399999999999999</v>
      </c>
      <c r="Q25" s="1" t="s">
        <v>364</v>
      </c>
    </row>
    <row r="26" spans="2:17" x14ac:dyDescent="0.2">
      <c r="B26" s="1" t="s">
        <v>365</v>
      </c>
      <c r="F26" s="76">
        <v>7.0000000000000007E-2</v>
      </c>
      <c r="Q26" s="1" t="s">
        <v>366</v>
      </c>
    </row>
    <row r="27" spans="2:17" x14ac:dyDescent="0.2">
      <c r="B27" s="5" t="s">
        <v>367</v>
      </c>
      <c r="C27" s="5"/>
      <c r="D27" s="5"/>
      <c r="E27" s="5"/>
      <c r="F27" s="80">
        <f>F24+F25*F26</f>
        <v>0.15329999999999999</v>
      </c>
      <c r="Q27" s="1" t="s">
        <v>368</v>
      </c>
    </row>
    <row r="29" spans="2:17" x14ac:dyDescent="0.2">
      <c r="B29" s="5" t="s">
        <v>369</v>
      </c>
    </row>
    <row r="30" spans="2:17" x14ac:dyDescent="0.2">
      <c r="B30" s="1" t="s">
        <v>370</v>
      </c>
      <c r="F30" s="78">
        <v>0.05</v>
      </c>
      <c r="Q30" s="1" t="s">
        <v>371</v>
      </c>
    </row>
    <row r="31" spans="2:17" x14ac:dyDescent="0.2">
      <c r="B31" s="1" t="s">
        <v>372</v>
      </c>
      <c r="F31" s="81"/>
      <c r="Q31" s="1" t="s">
        <v>373</v>
      </c>
    </row>
    <row r="32" spans="2:17" x14ac:dyDescent="0.2">
      <c r="B32" s="1" t="s">
        <v>374</v>
      </c>
      <c r="F32" s="79">
        <f>IF($F$31="",$O$47,$F$31)</f>
        <v>0.14350492324928105</v>
      </c>
      <c r="Q32" s="1" t="s">
        <v>375</v>
      </c>
    </row>
    <row r="33" spans="2:17" x14ac:dyDescent="0.2">
      <c r="B33" s="1" t="s">
        <v>376</v>
      </c>
      <c r="F33" s="82" t="str">
        <f>IF($F$27&gt;$F$30,"OK","ERROR")</f>
        <v>OK</v>
      </c>
      <c r="Q33" s="1" t="s">
        <v>377</v>
      </c>
    </row>
    <row r="36" spans="2:17" x14ac:dyDescent="0.2">
      <c r="B36" s="5" t="s">
        <v>378</v>
      </c>
    </row>
    <row r="37" spans="2:17" x14ac:dyDescent="0.2">
      <c r="B37" s="1" t="s">
        <v>148</v>
      </c>
      <c r="F37" s="26">
        <f>Model!F30</f>
        <v>145.4900000000037</v>
      </c>
      <c r="G37" s="26">
        <f>Model!G30</f>
        <v>2437.1300000000028</v>
      </c>
      <c r="H37" s="26">
        <f>Model!H30</f>
        <v>2956.5099999999975</v>
      </c>
      <c r="I37" s="26">
        <f>Model!I30</f>
        <v>1524.8500000000026</v>
      </c>
      <c r="J37" s="26">
        <f>Model!J30</f>
        <v>1636.3600000000004</v>
      </c>
      <c r="K37" s="26">
        <f>Model!K30</f>
        <v>3322.8056920766462</v>
      </c>
      <c r="L37" s="26">
        <f>Model!L30</f>
        <v>5197.439357345922</v>
      </c>
      <c r="M37" s="26">
        <f>Model!M30</f>
        <v>7159.5872808461136</v>
      </c>
      <c r="N37" s="26">
        <f>Model!N30</f>
        <v>9398.351278586917</v>
      </c>
      <c r="O37" s="26">
        <f>Model!O30</f>
        <v>12537.021508069502</v>
      </c>
      <c r="Q37" s="1" t="s">
        <v>379</v>
      </c>
    </row>
    <row r="38" spans="2:17" x14ac:dyDescent="0.2">
      <c r="B38" s="1" t="s">
        <v>172</v>
      </c>
      <c r="K38" s="26">
        <f>Model!K280</f>
        <v>215.04250000000002</v>
      </c>
      <c r="L38" s="26">
        <f>Model!L280</f>
        <v>498.4208538114969</v>
      </c>
      <c r="M38" s="26">
        <f>Model!M280</f>
        <v>779.61590360188825</v>
      </c>
      <c r="N38" s="26">
        <f>Model!N280</f>
        <v>1073.9380921269169</v>
      </c>
      <c r="O38" s="26">
        <f>Model!O280</f>
        <v>1409.7526917880375</v>
      </c>
      <c r="Q38" s="1" t="s">
        <v>380</v>
      </c>
    </row>
    <row r="39" spans="2:17" x14ac:dyDescent="0.2">
      <c r="B39" s="1" t="s">
        <v>171</v>
      </c>
      <c r="K39" s="26">
        <f>Model!K274</f>
        <v>0</v>
      </c>
      <c r="L39" s="26">
        <f>Model!L274</f>
        <v>7500</v>
      </c>
      <c r="M39" s="26">
        <f>Model!M274</f>
        <v>0</v>
      </c>
      <c r="N39" s="26">
        <f>Model!N274</f>
        <v>10000</v>
      </c>
      <c r="O39" s="26">
        <f>Model!O274</f>
        <v>0</v>
      </c>
      <c r="Q39" s="1" t="s">
        <v>381</v>
      </c>
    </row>
    <row r="40" spans="2:17" x14ac:dyDescent="0.2">
      <c r="B40" s="5" t="s">
        <v>382</v>
      </c>
      <c r="C40" s="5"/>
      <c r="D40" s="5"/>
      <c r="E40" s="5"/>
      <c r="F40" s="33">
        <f>Model!F101</f>
        <v>21003.48</v>
      </c>
      <c r="G40" s="33">
        <f>Model!G101</f>
        <v>25721.17</v>
      </c>
      <c r="H40" s="33">
        <f>Model!H101</f>
        <v>32161.309999999998</v>
      </c>
      <c r="I40" s="33">
        <f>Model!I101</f>
        <v>38078</v>
      </c>
      <c r="J40" s="33">
        <f>Model!J101</f>
        <v>47351.839999999997</v>
      </c>
      <c r="K40" s="33">
        <f>Model!K101</f>
        <v>50459.60319207664</v>
      </c>
      <c r="L40" s="33">
        <f>Model!L101</f>
        <v>62658.621695611066</v>
      </c>
      <c r="M40" s="33">
        <f>Model!M101</f>
        <v>69038.593072855292</v>
      </c>
      <c r="N40" s="33">
        <f>Model!N101</f>
        <v>87363.006259315298</v>
      </c>
      <c r="O40" s="33">
        <f>Model!O101</f>
        <v>98490.275075596757</v>
      </c>
      <c r="Q40" s="1" t="s">
        <v>383</v>
      </c>
    </row>
    <row r="41" spans="2:17" x14ac:dyDescent="0.2">
      <c r="B41" s="1" t="s">
        <v>384</v>
      </c>
      <c r="G41" s="27">
        <f t="shared" ref="G41:O41" si="0">F40</f>
        <v>21003.48</v>
      </c>
      <c r="H41" s="27">
        <f t="shared" si="0"/>
        <v>25721.17</v>
      </c>
      <c r="I41" s="27">
        <f t="shared" si="0"/>
        <v>32161.309999999998</v>
      </c>
      <c r="J41" s="27">
        <f t="shared" si="0"/>
        <v>38078</v>
      </c>
      <c r="K41" s="27">
        <f t="shared" si="0"/>
        <v>47351.839999999997</v>
      </c>
      <c r="L41" s="27">
        <f t="shared" si="0"/>
        <v>50459.60319207664</v>
      </c>
      <c r="M41" s="27">
        <f t="shared" si="0"/>
        <v>62658.621695611066</v>
      </c>
      <c r="N41" s="27">
        <f t="shared" si="0"/>
        <v>69038.593072855292</v>
      </c>
      <c r="O41" s="27">
        <f t="shared" si="0"/>
        <v>87363.006259315298</v>
      </c>
    </row>
    <row r="42" spans="2:17" x14ac:dyDescent="0.2">
      <c r="B42" s="11" t="s">
        <v>385</v>
      </c>
      <c r="C42" s="11"/>
      <c r="D42" s="11"/>
      <c r="E42" s="11"/>
      <c r="F42" s="11"/>
      <c r="G42" s="11"/>
      <c r="H42" s="11"/>
      <c r="I42" s="11"/>
      <c r="J42" s="11"/>
      <c r="K42" s="36">
        <f>ROUND(K41+K37-K38+K39-K40,0)</f>
        <v>0</v>
      </c>
      <c r="L42" s="36">
        <f>ROUND(L41+L37-L38+L39-L40,0)</f>
        <v>0</v>
      </c>
      <c r="M42" s="36">
        <f>ROUND(M41+M37-M38+M39-M40,0)</f>
        <v>0</v>
      </c>
      <c r="N42" s="36">
        <f>ROUND(N41+N37-N38+N39-N40,0)</f>
        <v>0</v>
      </c>
      <c r="O42" s="36">
        <f>ROUND(O41+O37-O38+O39-O40,0)</f>
        <v>0</v>
      </c>
      <c r="Q42" s="1" t="s">
        <v>386</v>
      </c>
    </row>
    <row r="44" spans="2:17" x14ac:dyDescent="0.2">
      <c r="B44" s="1" t="s">
        <v>387</v>
      </c>
      <c r="F44" s="83">
        <f>Historicals!F24/$F$18</f>
        <v>621.77099999999996</v>
      </c>
      <c r="G44" s="83">
        <f>Historicals!G24/$F$18</f>
        <v>661.81200000000001</v>
      </c>
      <c r="H44" s="83">
        <f>Historicals!H24/$F$18</f>
        <v>706.99199999999996</v>
      </c>
      <c r="I44" s="83">
        <f>Historicals!I24/$F$18</f>
        <v>732.21100000000001</v>
      </c>
      <c r="J44" s="83">
        <f>Historicals!J24/$F$18</f>
        <v>860.17000000000007</v>
      </c>
      <c r="K44" s="84">
        <f>IF($F$21="","",J44+K39/$F$21)</f>
        <v>860.17000000000007</v>
      </c>
      <c r="L44" s="84">
        <f>IF($F$21="","",K44+L39/$F$21)</f>
        <v>955.31144361283782</v>
      </c>
      <c r="M44" s="84">
        <f>IF($F$21="","",L44+M39/$F$21)</f>
        <v>955.31144361283782</v>
      </c>
      <c r="N44" s="84">
        <f>IF($F$21="","",M44+N39/$F$21)</f>
        <v>1082.1667017632881</v>
      </c>
      <c r="O44" s="84">
        <f>IF($F$21="","",N44+O39/$F$21)</f>
        <v>1082.1667017632881</v>
      </c>
      <c r="Q44" s="1" t="s">
        <v>388</v>
      </c>
    </row>
    <row r="45" spans="2:17" x14ac:dyDescent="0.2">
      <c r="B45" s="5" t="s">
        <v>389</v>
      </c>
      <c r="C45" s="5"/>
      <c r="D45" s="5"/>
      <c r="E45" s="5"/>
      <c r="F45" s="85">
        <f t="shared" ref="F45:O45" si="1">IF(F44="","",F40/F44)</f>
        <v>33.780089454155956</v>
      </c>
      <c r="G45" s="85">
        <f t="shared" si="1"/>
        <v>38.864768242340723</v>
      </c>
      <c r="H45" s="85">
        <f t="shared" si="1"/>
        <v>45.490345010976078</v>
      </c>
      <c r="I45" s="85">
        <f t="shared" si="1"/>
        <v>52.004135419981395</v>
      </c>
      <c r="J45" s="85">
        <f t="shared" si="1"/>
        <v>55.049397212178981</v>
      </c>
      <c r="K45" s="85">
        <f t="shared" si="1"/>
        <v>58.662361151954421</v>
      </c>
      <c r="L45" s="85">
        <f t="shared" si="1"/>
        <v>65.589732138710701</v>
      </c>
      <c r="M45" s="85">
        <f t="shared" si="1"/>
        <v>72.268152479951652</v>
      </c>
      <c r="N45" s="85">
        <f t="shared" si="1"/>
        <v>80.729712083143525</v>
      </c>
      <c r="O45" s="85">
        <f t="shared" si="1"/>
        <v>91.012110162987085</v>
      </c>
      <c r="Q45" s="1" t="s">
        <v>390</v>
      </c>
    </row>
    <row r="46" spans="2:17" x14ac:dyDescent="0.2">
      <c r="B46" s="1" t="s">
        <v>391</v>
      </c>
      <c r="F46" s="84">
        <f t="shared" ref="F46:O46" si="2">IF(F44="","",F37/F44)</f>
        <v>0.23399290092333627</v>
      </c>
      <c r="G46" s="84">
        <f t="shared" si="2"/>
        <v>3.6825110454328462</v>
      </c>
      <c r="H46" s="84">
        <f t="shared" si="2"/>
        <v>4.1818153529318547</v>
      </c>
      <c r="I46" s="84">
        <f t="shared" si="2"/>
        <v>2.0825281237239026</v>
      </c>
      <c r="J46" s="84">
        <f t="shared" si="2"/>
        <v>1.9023681365311511</v>
      </c>
      <c r="K46" s="84">
        <f t="shared" si="2"/>
        <v>3.8629639397754465</v>
      </c>
      <c r="L46" s="84">
        <f t="shared" si="2"/>
        <v>5.4405706035405821</v>
      </c>
      <c r="M46" s="84">
        <f t="shared" si="2"/>
        <v>7.4945059317720295</v>
      </c>
      <c r="N46" s="84">
        <f t="shared" si="2"/>
        <v>8.6847537105634416</v>
      </c>
      <c r="O46" s="84">
        <f t="shared" si="2"/>
        <v>11.585111136428068</v>
      </c>
      <c r="Q46" s="1" t="s">
        <v>392</v>
      </c>
    </row>
    <row r="47" spans="2:17" x14ac:dyDescent="0.2">
      <c r="B47" s="1" t="s">
        <v>393</v>
      </c>
      <c r="G47" s="32">
        <f t="shared" ref="G47:O47" si="3">G37/G41</f>
        <v>0.11603458093611167</v>
      </c>
      <c r="H47" s="32">
        <f t="shared" si="3"/>
        <v>0.11494461566095157</v>
      </c>
      <c r="I47" s="32">
        <f t="shared" si="3"/>
        <v>4.7412558754603054E-2</v>
      </c>
      <c r="J47" s="32">
        <f t="shared" si="3"/>
        <v>4.297389568779874E-2</v>
      </c>
      <c r="K47" s="32">
        <f t="shared" si="3"/>
        <v>7.0172683724151932E-2</v>
      </c>
      <c r="L47" s="32">
        <f t="shared" si="3"/>
        <v>0.10300198631292534</v>
      </c>
      <c r="M47" s="32">
        <f t="shared" si="3"/>
        <v>0.11426340202034173</v>
      </c>
      <c r="N47" s="32">
        <f t="shared" si="3"/>
        <v>0.13613184829344641</v>
      </c>
      <c r="O47" s="32">
        <f t="shared" si="3"/>
        <v>0.14350492324928105</v>
      </c>
      <c r="Q47" s="1" t="s">
        <v>394</v>
      </c>
    </row>
    <row r="48" spans="2:17" x14ac:dyDescent="0.2">
      <c r="B48" s="1" t="s">
        <v>395</v>
      </c>
      <c r="K48" s="84">
        <f>IF(J44="","",K38/J44)</f>
        <v>0.25</v>
      </c>
      <c r="L48" s="84">
        <f>IF(K44="","",L38/K44)</f>
        <v>0.57944459096631695</v>
      </c>
      <c r="M48" s="84">
        <f>IF(L44="","",M38/L44)</f>
        <v>0.81608559053108731</v>
      </c>
      <c r="N48" s="84">
        <f>IF(M44="","",N38/M44)</f>
        <v>1.1241758897658043</v>
      </c>
      <c r="O48" s="84">
        <f>IF(N44="","",O38/N44)</f>
        <v>1.3027130565845162</v>
      </c>
      <c r="Q48" s="1" t="s">
        <v>396</v>
      </c>
    </row>
    <row r="50" spans="2:17" x14ac:dyDescent="0.2">
      <c r="B50" s="5" t="s">
        <v>397</v>
      </c>
    </row>
    <row r="51" spans="2:17" x14ac:dyDescent="0.2">
      <c r="B51" s="1" t="s">
        <v>398</v>
      </c>
      <c r="K51" s="27">
        <f>K41</f>
        <v>47351.839999999997</v>
      </c>
      <c r="L51" s="27">
        <f>L41</f>
        <v>50459.60319207664</v>
      </c>
      <c r="M51" s="27">
        <f>M41</f>
        <v>62658.621695611066</v>
      </c>
      <c r="N51" s="27">
        <f>N41</f>
        <v>69038.593072855292</v>
      </c>
      <c r="O51" s="27">
        <f>O41</f>
        <v>87363.006259315298</v>
      </c>
    </row>
    <row r="52" spans="2:17" x14ac:dyDescent="0.2">
      <c r="B52" s="1" t="s">
        <v>148</v>
      </c>
      <c r="K52" s="27">
        <f>K37</f>
        <v>3322.8056920766462</v>
      </c>
      <c r="L52" s="27">
        <f>L37</f>
        <v>5197.439357345922</v>
      </c>
      <c r="M52" s="27">
        <f>M37</f>
        <v>7159.5872808461136</v>
      </c>
      <c r="N52" s="27">
        <f>N37</f>
        <v>9398.351278586917</v>
      </c>
      <c r="O52" s="27">
        <f>O37</f>
        <v>12537.021508069502</v>
      </c>
    </row>
    <row r="53" spans="2:17" x14ac:dyDescent="0.2">
      <c r="B53" s="1" t="s">
        <v>367</v>
      </c>
      <c r="K53" s="32">
        <f>$F$27</f>
        <v>0.15329999999999999</v>
      </c>
      <c r="L53" s="32">
        <f>$F$27</f>
        <v>0.15329999999999999</v>
      </c>
      <c r="M53" s="32">
        <f>$F$27</f>
        <v>0.15329999999999999</v>
      </c>
      <c r="N53" s="32">
        <f>$F$27</f>
        <v>0.15329999999999999</v>
      </c>
      <c r="O53" s="32">
        <f>$F$27</f>
        <v>0.15329999999999999</v>
      </c>
    </row>
    <row r="54" spans="2:17" x14ac:dyDescent="0.2">
      <c r="B54" s="1" t="s">
        <v>399</v>
      </c>
      <c r="K54" s="27">
        <f>-K53*K51</f>
        <v>-7259.0370719999992</v>
      </c>
      <c r="L54" s="27">
        <f>-L53*L51</f>
        <v>-7735.4571693453481</v>
      </c>
      <c r="M54" s="27">
        <f>-M53*M51</f>
        <v>-9605.5667059371754</v>
      </c>
      <c r="N54" s="27">
        <f>-N53*N51</f>
        <v>-10583.616318068716</v>
      </c>
      <c r="O54" s="27">
        <f>-O53*O51</f>
        <v>-13392.748859553034</v>
      </c>
      <c r="Q54" s="1" t="s">
        <v>400</v>
      </c>
    </row>
    <row r="55" spans="2:17" x14ac:dyDescent="0.2">
      <c r="B55" s="5" t="s">
        <v>401</v>
      </c>
      <c r="C55" s="5"/>
      <c r="D55" s="5"/>
      <c r="E55" s="5"/>
      <c r="F55" s="5"/>
      <c r="G55" s="5"/>
      <c r="H55" s="5"/>
      <c r="I55" s="5"/>
      <c r="J55" s="5"/>
      <c r="K55" s="29">
        <f>K52+K54</f>
        <v>-3936.231379923353</v>
      </c>
      <c r="L55" s="29">
        <f>L52+L54</f>
        <v>-2538.0178119994262</v>
      </c>
      <c r="M55" s="29">
        <f>M52+M54</f>
        <v>-2445.9794250910618</v>
      </c>
      <c r="N55" s="29">
        <f>N52+N54</f>
        <v>-1185.2650394817992</v>
      </c>
      <c r="O55" s="29">
        <f>O52+O54</f>
        <v>-855.7273514835324</v>
      </c>
      <c r="Q55" s="1" t="s">
        <v>402</v>
      </c>
    </row>
    <row r="56" spans="2:17" x14ac:dyDescent="0.2">
      <c r="B56" s="1" t="s">
        <v>403</v>
      </c>
      <c r="K56" s="86">
        <f>K$5-$J$5</f>
        <v>1</v>
      </c>
      <c r="L56" s="86">
        <f>L$5-$J$5</f>
        <v>2</v>
      </c>
      <c r="M56" s="86">
        <f>M$5-$J$5</f>
        <v>3</v>
      </c>
      <c r="N56" s="86">
        <f>N$5-$J$5</f>
        <v>4</v>
      </c>
      <c r="O56" s="86">
        <f>O$5-$J$5</f>
        <v>5</v>
      </c>
      <c r="Q56" s="1" t="s">
        <v>404</v>
      </c>
    </row>
    <row r="57" spans="2:17" x14ac:dyDescent="0.2">
      <c r="B57" s="1" t="s">
        <v>405</v>
      </c>
      <c r="K57" s="87">
        <f>1/(1+$F$27)^K56</f>
        <v>0.86707708315269227</v>
      </c>
      <c r="L57" s="87">
        <f>1/(1+$F$27)^L56</f>
        <v>0.7518226681285809</v>
      </c>
      <c r="M57" s="87">
        <f>1/(1+$F$27)^M56</f>
        <v>0.65188820612900444</v>
      </c>
      <c r="N57" s="87">
        <f>1/(1+$F$27)^N56</f>
        <v>0.56523732431197815</v>
      </c>
      <c r="O57" s="87">
        <f>1/(1+$F$27)^O56</f>
        <v>0.49010433045346241</v>
      </c>
    </row>
    <row r="58" spans="2:17" x14ac:dyDescent="0.2">
      <c r="B58" s="5" t="s">
        <v>406</v>
      </c>
      <c r="C58" s="5"/>
      <c r="D58" s="5"/>
      <c r="E58" s="5"/>
      <c r="F58" s="5"/>
      <c r="G58" s="5"/>
      <c r="H58" s="5"/>
      <c r="I58" s="5"/>
      <c r="J58" s="5"/>
      <c r="K58" s="28">
        <f>K55*K57</f>
        <v>-3413.0160235180379</v>
      </c>
      <c r="L58" s="28">
        <f>L55*L57</f>
        <v>-1908.1393231752716</v>
      </c>
      <c r="M58" s="28">
        <f>M55*M57</f>
        <v>-1594.505139651066</v>
      </c>
      <c r="N58" s="28">
        <f>N55*N57</f>
        <v>-669.9560395172233</v>
      </c>
      <c r="O58" s="28">
        <f>O55*O57</f>
        <v>-419.39568064955137</v>
      </c>
      <c r="Q58" s="1" t="s">
        <v>407</v>
      </c>
    </row>
    <row r="60" spans="2:17" x14ac:dyDescent="0.2">
      <c r="B60" s="5" t="s">
        <v>408</v>
      </c>
    </row>
    <row r="61" spans="2:17" x14ac:dyDescent="0.2">
      <c r="B61" s="1" t="s">
        <v>409</v>
      </c>
      <c r="F61" s="89">
        <f>$O$40</f>
        <v>98490.275075596757</v>
      </c>
      <c r="Q61" s="1" t="s">
        <v>410</v>
      </c>
    </row>
    <row r="62" spans="2:17" x14ac:dyDescent="0.2">
      <c r="B62" s="1" t="s">
        <v>374</v>
      </c>
      <c r="F62" s="91">
        <f>$F$32</f>
        <v>0.14350492324928105</v>
      </c>
    </row>
    <row r="63" spans="2:17" x14ac:dyDescent="0.2">
      <c r="B63" s="1" t="s">
        <v>411</v>
      </c>
      <c r="F63" s="89">
        <f>($F$62-$F$27)*$F$61</f>
        <v>-964.71980356489144</v>
      </c>
      <c r="Q63" s="1" t="s">
        <v>412</v>
      </c>
    </row>
    <row r="64" spans="2:17" x14ac:dyDescent="0.2">
      <c r="B64" s="5" t="s">
        <v>413</v>
      </c>
      <c r="C64" s="5"/>
      <c r="D64" s="5"/>
      <c r="E64" s="5"/>
      <c r="F64" s="92">
        <f>$F$63/($F$27-$F$30)</f>
        <v>-9339.010683106404</v>
      </c>
      <c r="Q64" s="1" t="s">
        <v>414</v>
      </c>
    </row>
    <row r="65" spans="2:17" x14ac:dyDescent="0.2">
      <c r="B65" s="1" t="s">
        <v>415</v>
      </c>
      <c r="F65" s="89">
        <f>$F$64*$O$57</f>
        <v>-4577.0895779415969</v>
      </c>
      <c r="Q65" s="1" t="s">
        <v>416</v>
      </c>
    </row>
    <row r="67" spans="2:17" x14ac:dyDescent="0.2">
      <c r="B67" s="5" t="s">
        <v>417</v>
      </c>
    </row>
    <row r="68" spans="2:17" x14ac:dyDescent="0.2">
      <c r="B68" s="1" t="s">
        <v>418</v>
      </c>
      <c r="F68" s="89">
        <f>$J$40</f>
        <v>47351.839999999997</v>
      </c>
      <c r="Q68" s="1" t="s">
        <v>419</v>
      </c>
    </row>
    <row r="69" spans="2:17" x14ac:dyDescent="0.2">
      <c r="B69" s="1" t="s">
        <v>420</v>
      </c>
      <c r="F69" s="89">
        <f>SUM($K$58:$O$58)</f>
        <v>-8005.01220651115</v>
      </c>
    </row>
    <row r="70" spans="2:17" x14ac:dyDescent="0.2">
      <c r="B70" s="1" t="s">
        <v>421</v>
      </c>
      <c r="F70" s="89">
        <f>$F$65</f>
        <v>-4577.0895779415969</v>
      </c>
    </row>
    <row r="71" spans="2:17" x14ac:dyDescent="0.2">
      <c r="B71" s="5" t="s">
        <v>422</v>
      </c>
      <c r="C71" s="5"/>
      <c r="D71" s="5"/>
      <c r="E71" s="5"/>
      <c r="F71" s="92">
        <f>SUM($F$68:$F$70)</f>
        <v>34769.738215547251</v>
      </c>
    </row>
    <row r="72" spans="2:17" x14ac:dyDescent="0.2">
      <c r="B72" s="1" t="s">
        <v>423</v>
      </c>
      <c r="F72" s="93">
        <f>($F$15-$F$16)/365</f>
        <v>0.53698630136986303</v>
      </c>
      <c r="Q72" s="1" t="s">
        <v>424</v>
      </c>
    </row>
    <row r="73" spans="2:17" x14ac:dyDescent="0.2">
      <c r="B73" s="1" t="s">
        <v>425</v>
      </c>
      <c r="F73" s="89">
        <f>$F$71*(1+$F$27)^$F$72</f>
        <v>37537.347699779224</v>
      </c>
    </row>
    <row r="74" spans="2:17" x14ac:dyDescent="0.2">
      <c r="B74" s="1" t="s">
        <v>426</v>
      </c>
      <c r="F74" s="89">
        <f>-$F$20*$F$19</f>
        <v>-215.04250000000002</v>
      </c>
      <c r="Q74" s="1" t="s">
        <v>427</v>
      </c>
    </row>
    <row r="75" spans="2:17" x14ac:dyDescent="0.2">
      <c r="B75" s="5" t="s">
        <v>428</v>
      </c>
      <c r="C75" s="5"/>
      <c r="D75" s="5"/>
      <c r="E75" s="5"/>
      <c r="F75" s="92">
        <f>$F$73+$F$74</f>
        <v>37322.305199779221</v>
      </c>
    </row>
    <row r="76" spans="2:17" x14ac:dyDescent="0.2">
      <c r="B76" s="1" t="s">
        <v>429</v>
      </c>
      <c r="F76" s="94">
        <f>$F$19</f>
        <v>860.17000000000007</v>
      </c>
    </row>
    <row r="77" spans="2:17" ht="17" thickBot="1" x14ac:dyDescent="0.25">
      <c r="B77" s="158" t="s">
        <v>430</v>
      </c>
      <c r="C77" s="158"/>
      <c r="D77" s="158"/>
      <c r="E77" s="158"/>
      <c r="F77" s="159">
        <f>$F$75/$F$76</f>
        <v>43.389452317308461</v>
      </c>
    </row>
    <row r="78" spans="2:17" ht="17" thickTop="1" x14ac:dyDescent="0.2">
      <c r="B78" s="1" t="s">
        <v>431</v>
      </c>
      <c r="F78" s="94">
        <f>IF($F$17="","n/a",$F$17)</f>
        <v>78.83</v>
      </c>
    </row>
    <row r="79" spans="2:17" x14ac:dyDescent="0.2">
      <c r="B79" s="5" t="s">
        <v>432</v>
      </c>
      <c r="C79" s="5"/>
      <c r="D79" s="5"/>
      <c r="E79" s="5"/>
      <c r="F79" s="95">
        <f>IF($F$17="","Enter price in F17",$F$77/$F$17-1)</f>
        <v>-0.44958198252811798</v>
      </c>
    </row>
    <row r="81" spans="2:17" x14ac:dyDescent="0.2">
      <c r="B81" s="5" t="s">
        <v>433</v>
      </c>
    </row>
    <row r="82" spans="2:17" x14ac:dyDescent="0.2">
      <c r="B82" s="1" t="s">
        <v>434</v>
      </c>
      <c r="F82" s="94">
        <f>$F$68/$F$19</f>
        <v>55.049397212178981</v>
      </c>
    </row>
    <row r="83" spans="2:17" x14ac:dyDescent="0.2">
      <c r="B83" s="1" t="s">
        <v>435</v>
      </c>
      <c r="F83" s="97">
        <f>$F$77/$F$82</f>
        <v>0.78819123395794599</v>
      </c>
    </row>
    <row r="84" spans="2:17" x14ac:dyDescent="0.2">
      <c r="B84" s="1" t="s">
        <v>436</v>
      </c>
      <c r="F84" s="97">
        <f>IF($F$17="","n/a",$F$17/$F$82)</f>
        <v>1.4319866155148355</v>
      </c>
    </row>
    <row r="85" spans="2:17" x14ac:dyDescent="0.2">
      <c r="B85" s="1" t="s">
        <v>437</v>
      </c>
      <c r="F85" s="97">
        <f>1+($F$62-$F$27)/($F$27-$F$30)</f>
        <v>0.90517834704047484</v>
      </c>
      <c r="Q85" s="1" t="s">
        <v>438</v>
      </c>
    </row>
    <row r="86" spans="2:17" x14ac:dyDescent="0.2">
      <c r="B86" s="1" t="s">
        <v>439</v>
      </c>
      <c r="F86" s="91">
        <f>$F$70/$F$71</f>
        <v>-0.13164003564153831</v>
      </c>
    </row>
    <row r="87" spans="2:17" x14ac:dyDescent="0.2"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</row>
    <row r="90" spans="2:17" x14ac:dyDescent="0.2">
      <c r="B90" s="5" t="s">
        <v>440</v>
      </c>
      <c r="Q90" s="1" t="s">
        <v>444</v>
      </c>
    </row>
    <row r="91" spans="2:17" x14ac:dyDescent="0.2">
      <c r="B91" s="1" t="s">
        <v>441</v>
      </c>
      <c r="D91" s="1" t="s">
        <v>442</v>
      </c>
      <c r="E91" s="20">
        <v>0.01</v>
      </c>
      <c r="F91" s="1" t="s">
        <v>443</v>
      </c>
      <c r="G91" s="20">
        <v>0.01</v>
      </c>
    </row>
    <row r="92" spans="2:17" ht="17" thickBot="1" x14ac:dyDescent="0.25">
      <c r="G92" s="98" t="s">
        <v>445</v>
      </c>
      <c r="H92" s="147">
        <f>$F$30+(-2)*$G$91</f>
        <v>3.0000000000000002E-2</v>
      </c>
      <c r="I92" s="147">
        <f>$F$30+(-1)*$G$91</f>
        <v>0.04</v>
      </c>
      <c r="J92" s="147">
        <f>$F$30+(0)*$G$91</f>
        <v>0.05</v>
      </c>
      <c r="K92" s="147">
        <f>$F$30+(1)*$G$91</f>
        <v>6.0000000000000005E-2</v>
      </c>
      <c r="L92" s="147">
        <f>$F$30+(2)*$G$91</f>
        <v>7.0000000000000007E-2</v>
      </c>
    </row>
    <row r="93" spans="2:17" x14ac:dyDescent="0.2">
      <c r="G93" s="148">
        <f>$F$27+(-2)*$E$91</f>
        <v>0.1333</v>
      </c>
      <c r="H93" s="68" cm="1">
        <f t="array" ref="H93">(($J$40+SUMPRODUCT(($K$37:$O$37-$G93*$K$41:$O$41)/(1+$G93)^$K$56:$O$56)+((($F$32)-$G93)*$O$40/($G93-H$92))/(1+$G93)^$O$56)*(1+$G93)^$F$72+$F$74)/$F$19</f>
        <v>60.058514038434751</v>
      </c>
      <c r="I93" s="68" cm="1">
        <f t="array" ref="I93">(($J$40+SUMPRODUCT(($K$37:$O$37-$G93*$K$41:$O$41)/(1+$G93)^$K$56:$O$56)+((($F$32)-$G93)*$O$40/($G93-I$92))/(1+$G93)^$O$56)*(1+$G93)^$F$72+$F$74)/$F$19</f>
        <v>60.752091310437272</v>
      </c>
      <c r="J93" s="68" cm="1">
        <f t="array" ref="J93">(($J$40+SUMPRODUCT(($K$37:$O$37-$G93*$K$41:$O$41)/(1+$G93)^$K$56:$O$56)+((($F$32)-$G93)*$O$40/($G93-J$92))/(1+$G93)^$O$56)*(1+$G93)^$F$72+$F$74)/$F$19</f>
        <v>61.612193737782562</v>
      </c>
      <c r="K93" s="68" cm="1">
        <f t="array" ref="K93">(($J$40+SUMPRODUCT(($K$37:$O$37-$G93*$K$41:$O$41)/(1+$G93)^$K$56:$O$56)+((($F$32)-$G93)*$O$40/($G93-K$92))/(1+$G93)^$O$56)*(1+$G93)^$F$72+$F$74)/$F$19</f>
        <v>62.706976227159281</v>
      </c>
      <c r="L93" s="68" cm="1">
        <f t="array" ref="L93">(($J$40+SUMPRODUCT(($K$37:$O$37-$G93*$K$41:$O$41)/(1+$G93)^$K$56:$O$56)+((($F$32)-$G93)*$O$40/($G93-L$92))/(1+$G93)^$O$56)*(1+$G93)^$F$72+$F$74)/$F$19</f>
        <v>64.147661556781415</v>
      </c>
    </row>
    <row r="94" spans="2:17" x14ac:dyDescent="0.2">
      <c r="G94" s="148">
        <f>$F$27+(-1)*$E$91</f>
        <v>0.14329999999999998</v>
      </c>
      <c r="H94" s="68" cm="1">
        <f t="array" ref="H94">(($J$40+SUMPRODUCT(($K$37:$O$37-$G94*$K$41:$O$41)/(1+$G94)^$K$56:$O$56)+((($F$32)-$G94)*$O$40/($G94-H$92))/(1+$G94)^$O$56)*(1+$G94)^$F$72+$F$74)/$F$19</f>
        <v>51.419676531809159</v>
      </c>
      <c r="I94" s="68" cm="1">
        <f t="array" ref="I94">(($J$40+SUMPRODUCT(($K$37:$O$37-$G94*$K$41:$O$41)/(1+$G94)^$K$56:$O$56)+((($F$32)-$G94)*$O$40/($G94-I$92))/(1+$G94)^$O$56)*(1+$G94)^$F$72+$F$74)/$F$19</f>
        <v>51.430704621154135</v>
      </c>
      <c r="J94" s="68" cm="1">
        <f t="array" ref="J94">(($J$40+SUMPRODUCT(($K$37:$O$37-$G94*$K$41:$O$41)/(1+$G94)^$K$56:$O$56)+((($F$32)-$G94)*$O$40/($G94-J$92))/(1+$G94)^$O$56)*(1+$G94)^$F$72+$F$74)/$F$19</f>
        <v>51.444096716789559</v>
      </c>
      <c r="K94" s="68" cm="1">
        <f t="array" ref="K94">(($J$40+SUMPRODUCT(($K$37:$O$37-$G94*$K$41:$O$41)/(1+$G94)^$K$56:$O$56)+((($F$32)-$G94)*$O$40/($G94-K$92))/(1+$G94)^$O$56)*(1+$G94)^$F$72+$F$74)/$F$19</f>
        <v>51.460704201533133</v>
      </c>
      <c r="L94" s="68" cm="1">
        <f t="array" ref="L94">(($J$40+SUMPRODUCT(($K$37:$O$37-$G94*$K$41:$O$41)/(1+$G94)^$K$56:$O$56)+((($F$32)-$G94)*$O$40/($G94-L$92))/(1+$G94)^$O$56)*(1+$G94)^$F$72+$F$74)/$F$19</f>
        <v>51.48184306001302</v>
      </c>
    </row>
    <row r="95" spans="2:17" x14ac:dyDescent="0.2">
      <c r="G95" s="148">
        <f>$F$27+(0)*$E$91</f>
        <v>0.15329999999999999</v>
      </c>
      <c r="H95" s="68" cm="1">
        <f t="array" ref="H95">(($J$40+SUMPRODUCT(($K$37:$O$37-$G95*$K$41:$O$41)/(1+$G95)^$K$56:$O$56)+((($F$32)-$G95)*$O$40/($G95-H$92))/(1+$G95)^$O$56)*(1+$G95)^$F$72+$F$74)/$F$19</f>
        <v>44.32127698209802</v>
      </c>
      <c r="I95" s="68" cm="1">
        <f t="array" ref="I95">(($J$40+SUMPRODUCT(($K$37:$O$37-$G95*$K$41:$O$41)/(1+$G95)^$K$56:$O$56)+((($F$32)-$G95)*$O$40/($G95-I$92))/(1+$G95)^$O$56)*(1+$G95)^$F$72+$F$74)/$F$19</f>
        <v>43.896486656092897</v>
      </c>
      <c r="J95" s="99" cm="1">
        <f t="array" ref="J95">(($J$40+SUMPRODUCT(($K$37:$O$37-$G95*$K$41:$O$41)/(1+$G95)^$K$56:$O$56)+((($F$32)-$G95)*$O$40/($G95-J$92))/(1+$G95)^$O$56)*(1+$G95)^$F$72+$F$74)/$F$19</f>
        <v>43.389452317308461</v>
      </c>
      <c r="K95" s="68" cm="1">
        <f t="array" ref="K95">(($J$40+SUMPRODUCT(($K$37:$O$37-$G95*$K$41:$O$41)/(1+$G95)^$K$56:$O$56)+((($F$32)-$G95)*$O$40/($G95-K$92))/(1+$G95)^$O$56)*(1+$G95)^$F$72+$F$74)/$F$19</f>
        <v>42.773728945558439</v>
      </c>
      <c r="L95" s="68" cm="1">
        <f t="array" ref="L95">(($J$40+SUMPRODUCT(($K$37:$O$37-$G95*$K$41:$O$41)/(1+$G95)^$K$56:$O$56)+((($F$32)-$G95)*$O$40/($G95-L$92))/(1+$G95)^$O$56)*(1+$G95)^$F$72+$F$74)/$F$19</f>
        <v>42.010172831491481</v>
      </c>
    </row>
    <row r="96" spans="2:17" x14ac:dyDescent="0.2">
      <c r="G96" s="148">
        <f>$F$27+(1)*$E$91</f>
        <v>0.1633</v>
      </c>
      <c r="H96" s="68" cm="1">
        <f t="array" ref="H96">(($J$40+SUMPRODUCT(($K$37:$O$37-$G96*$K$41:$O$41)/(1+$G96)^$K$56:$O$56)+((($F$32)-$G96)*$O$40/($G96-H$92))/(1+$G96)^$O$56)*(1+$G96)^$F$72+$F$74)/$F$19</f>
        <v>38.409782694075233</v>
      </c>
      <c r="I96" s="68" cm="1">
        <f t="array" ref="I96">(($J$40+SUMPRODUCT(($K$37:$O$37-$G96*$K$41:$O$41)/(1+$G96)^$K$56:$O$56)+((($F$32)-$G96)*$O$40/($G96-I$92))/(1+$G96)^$O$56)*(1+$G96)^$F$72+$F$74)/$F$19</f>
        <v>37.707697296614576</v>
      </c>
      <c r="J96" s="68" cm="1">
        <f t="array" ref="J96">(($J$40+SUMPRODUCT(($K$37:$O$37-$G96*$K$41:$O$41)/(1+$G96)^$K$56:$O$56)+((($F$32)-$G96)*$O$40/($G96-J$92))/(1+$G96)^$O$56)*(1+$G96)^$F$72+$F$74)/$F$19</f>
        <v>36.881678024933144</v>
      </c>
      <c r="K96" s="68" cm="1">
        <f t="array" ref="K96">(($J$40+SUMPRODUCT(($K$37:$O$37-$G96*$K$41:$O$41)/(1+$G96)^$K$56:$O$56)+((($F$32)-$G96)*$O$40/($G96-K$92))/(1+$G96)^$O$56)*(1+$G96)^$F$72+$F$74)/$F$19</f>
        <v>35.895732466382135</v>
      </c>
      <c r="L96" s="68" cm="1">
        <f t="array" ref="L96">(($J$40+SUMPRODUCT(($K$37:$O$37-$G96*$K$41:$O$41)/(1+$G96)^$K$56:$O$56)+((($F$32)-$G96)*$O$40/($G96-L$92))/(1+$G96)^$O$56)*(1+$G96)^$F$72+$F$74)/$F$19</f>
        <v>34.698437377595098</v>
      </c>
    </row>
    <row r="97" spans="2:17" x14ac:dyDescent="0.2">
      <c r="G97" s="148">
        <f>$F$27+(2)*$E$91</f>
        <v>0.17329999999999998</v>
      </c>
      <c r="H97" s="68" cm="1">
        <f t="array" ref="H97">(($J$40+SUMPRODUCT(($K$37:$O$37-$G97*$K$41:$O$41)/(1+$G97)^$K$56:$O$56)+((($F$32)-$G97)*$O$40/($G97-H$92))/(1+$G97)^$O$56)*(1+$G97)^$F$72+$F$74)/$F$19</f>
        <v>33.430733521033247</v>
      </c>
      <c r="I97" s="68" cm="1">
        <f t="array" ref="I97">(($J$40+SUMPRODUCT(($K$37:$O$37-$G97*$K$41:$O$41)/(1+$G97)^$K$56:$O$56)+((($F$32)-$G97)*$O$40/($G97-I$92))/(1+$G97)^$O$56)*(1+$G97)^$F$72+$F$74)/$F$19</f>
        <v>32.555541007152293</v>
      </c>
      <c r="J97" s="68" cm="1">
        <f t="array" ref="J97">(($J$40+SUMPRODUCT(($K$37:$O$37-$G97*$K$41:$O$41)/(1+$G97)^$K$56:$O$56)+((($F$32)-$G97)*$O$40/($G97-J$92))/(1+$G97)^$O$56)*(1+$G97)^$F$72+$F$74)/$F$19</f>
        <v>31.538387014945155</v>
      </c>
      <c r="K97" s="68" cm="1">
        <f t="array" ref="K97">(($J$40+SUMPRODUCT(($K$37:$O$37-$G97*$K$41:$O$41)/(1+$G97)^$K$56:$O$56)+((($F$32)-$G97)*$O$40/($G97-K$92))/(1+$G97)^$O$56)*(1+$G97)^$F$72+$F$74)/$F$19</f>
        <v>30.341682450415483</v>
      </c>
      <c r="L97" s="68" cm="1">
        <f t="array" ref="L97">(($J$40+SUMPRODUCT(($K$37:$O$37-$G97*$K$41:$O$41)/(1+$G97)^$K$56:$O$56)+((($F$32)-$G97)*$O$40/($G97-L$92))/(1+$G97)^$O$56)*(1+$G97)^$F$72+$F$74)/$F$19</f>
        <v>28.913282907274059</v>
      </c>
    </row>
    <row r="98" spans="2:17" x14ac:dyDescent="0.2">
      <c r="B98" s="11" t="s">
        <v>450</v>
      </c>
      <c r="C98" s="11"/>
      <c r="D98" s="11"/>
      <c r="E98" s="11"/>
      <c r="F98" s="100" t="str">
        <f>IF(ROUND(J95-$F$77,6)=0,"OK","ERROR")</f>
        <v>OK</v>
      </c>
    </row>
    <row r="100" spans="2:17" x14ac:dyDescent="0.2">
      <c r="B100" s="5" t="s">
        <v>446</v>
      </c>
      <c r="Q100" s="1" t="s">
        <v>448</v>
      </c>
    </row>
    <row r="101" spans="2:17" x14ac:dyDescent="0.2">
      <c r="B101" s="1" t="s">
        <v>441</v>
      </c>
      <c r="D101" s="1" t="s">
        <v>442</v>
      </c>
      <c r="E101" s="20">
        <v>0.01</v>
      </c>
      <c r="F101" s="1" t="s">
        <v>447</v>
      </c>
      <c r="G101" s="20">
        <v>0.02</v>
      </c>
    </row>
    <row r="102" spans="2:17" ht="17" thickBot="1" x14ac:dyDescent="0.25">
      <c r="G102" s="98" t="s">
        <v>449</v>
      </c>
      <c r="H102" s="147">
        <f>$F$32+(-2)*$G$101</f>
        <v>0.10350492324928104</v>
      </c>
      <c r="I102" s="147">
        <f>$F$32+(-1)*$G$101</f>
        <v>0.12350492324928104</v>
      </c>
      <c r="J102" s="147">
        <f>$F$32+(0)*$G$101</f>
        <v>0.14350492324928105</v>
      </c>
      <c r="K102" s="147">
        <f>$F$32+(1)*$G$101</f>
        <v>0.16350492324928104</v>
      </c>
      <c r="L102" s="147">
        <f>$F$32+(2)*$G$101</f>
        <v>0.18350492324928105</v>
      </c>
    </row>
    <row r="103" spans="2:17" x14ac:dyDescent="0.2">
      <c r="G103" s="148">
        <f>$F$27+(-2)*$E$101</f>
        <v>0.1333</v>
      </c>
      <c r="H103" s="68" cm="1">
        <f t="array" ref="H103">(($J$40+SUMPRODUCT(($K$37:$O$37-$G103*$K$41:$O$41)/(1+$G103)^$K$56:$O$56)+(((H$102)-$G103)*$O$40/($G103-$F$30))/(1+$G103)^$O$56)*(1+$G103)^$F$72+$F$74)/$F$19</f>
        <v>30.157745914486014</v>
      </c>
      <c r="I103" s="68" cm="1">
        <f t="array" ref="I103">(($J$40+SUMPRODUCT(($K$37:$O$37-$G103*$K$41:$O$41)/(1+$G103)^$K$56:$O$56)+(((I$102)-$G103)*$O$40/($G103-$F$30))/(1+$G103)^$O$56)*(1+$G103)^$F$72+$F$74)/$F$19</f>
        <v>45.884969826134288</v>
      </c>
      <c r="J103" s="68" cm="1">
        <f t="array" ref="J103">(($J$40+SUMPRODUCT(($K$37:$O$37-$G103*$K$41:$O$41)/(1+$G103)^$K$56:$O$56)+(((J$102)-$G103)*$O$40/($G103-$F$30))/(1+$G103)^$O$56)*(1+$G103)^$F$72+$F$74)/$F$19</f>
        <v>61.612193737782562</v>
      </c>
      <c r="K103" s="68" cm="1">
        <f t="array" ref="K103">(($J$40+SUMPRODUCT(($K$37:$O$37-$G103*$K$41:$O$41)/(1+$G103)^$K$56:$O$56)+(((K$102)-$G103)*$O$40/($G103-$F$30))/(1+$G103)^$O$56)*(1+$G103)^$F$72+$F$74)/$F$19</f>
        <v>77.339417649430828</v>
      </c>
      <c r="L103" s="68" cm="1">
        <f t="array" ref="L103">(($J$40+SUMPRODUCT(($K$37:$O$37-$G103*$K$41:$O$41)/(1+$G103)^$K$56:$O$56)+(((L$102)-$G103)*$O$40/($G103-$F$30))/(1+$G103)^$O$56)*(1+$G103)^$F$72+$F$74)/$F$19</f>
        <v>93.066641561079123</v>
      </c>
    </row>
    <row r="104" spans="2:17" x14ac:dyDescent="0.2">
      <c r="G104" s="148">
        <f>$F$27+(-1)*$E$101</f>
        <v>0.14329999999999998</v>
      </c>
      <c r="H104" s="68" cm="1">
        <f t="array" ref="H104">(($J$40+SUMPRODUCT(($K$37:$O$37-$G104*$K$41:$O$41)/(1+$G104)^$K$56:$O$56)+(((H$102)-$G104)*$O$40/($G104-$F$30))/(1+$G104)^$O$56)*(1+$G104)^$F$72+$F$74)/$F$19</f>
        <v>24.440748214497109</v>
      </c>
      <c r="I104" s="68" cm="1">
        <f t="array" ref="I104">(($J$40+SUMPRODUCT(($K$37:$O$37-$G104*$K$41:$O$41)/(1+$G104)^$K$56:$O$56)+(((I$102)-$G104)*$O$40/($G104-$F$30))/(1+$G104)^$O$56)*(1+$G104)^$F$72+$F$74)/$F$19</f>
        <v>37.94242246564334</v>
      </c>
      <c r="J104" s="68" cm="1">
        <f t="array" ref="J104">(($J$40+SUMPRODUCT(($K$37:$O$37-$G104*$K$41:$O$41)/(1+$G104)^$K$56:$O$56)+(((J$102)-$G104)*$O$40/($G104-$F$30))/(1+$G104)^$O$56)*(1+$G104)^$F$72+$F$74)/$F$19</f>
        <v>51.444096716789559</v>
      </c>
      <c r="K104" s="68" cm="1">
        <f t="array" ref="K104">(($J$40+SUMPRODUCT(($K$37:$O$37-$G104*$K$41:$O$41)/(1+$G104)^$K$56:$O$56)+(((K$102)-$G104)*$O$40/($G104-$F$30))/(1+$G104)^$O$56)*(1+$G104)^$F$72+$F$74)/$F$19</f>
        <v>64.945770967935772</v>
      </c>
      <c r="L104" s="68" cm="1">
        <f t="array" ref="L104">(($J$40+SUMPRODUCT(($K$37:$O$37-$G104*$K$41:$O$41)/(1+$G104)^$K$56:$O$56)+(((L$102)-$G104)*$O$40/($G104-$F$30))/(1+$G104)^$O$56)*(1+$G104)^$F$72+$F$74)/$F$19</f>
        <v>78.447445219082013</v>
      </c>
    </row>
    <row r="105" spans="2:17" x14ac:dyDescent="0.2">
      <c r="G105" s="148">
        <f>$F$27+(0)*$E$101</f>
        <v>0.15329999999999999</v>
      </c>
      <c r="H105" s="68" cm="1">
        <f t="array" ref="H105">(($J$40+SUMPRODUCT(($K$37:$O$37-$G105*$K$41:$O$41)/(1+$G105)^$K$56:$O$56)+(((H$102)-$G105)*$O$40/($G105-$F$30))/(1+$G105)^$O$56)*(1+$G105)^$F$72+$F$74)/$F$19</f>
        <v>19.929915635246033</v>
      </c>
      <c r="I105" s="68" cm="1">
        <f t="array" ref="I105">(($J$40+SUMPRODUCT(($K$37:$O$37-$G105*$K$41:$O$41)/(1+$G105)^$K$56:$O$56)+(((I$102)-$G105)*$O$40/($G105-$F$30))/(1+$G105)^$O$56)*(1+$G105)^$F$72+$F$74)/$F$19</f>
        <v>31.659683976277243</v>
      </c>
      <c r="J105" s="99" cm="1">
        <f t="array" ref="J105">(($J$40+SUMPRODUCT(($K$37:$O$37-$G105*$K$41:$O$41)/(1+$G105)^$K$56:$O$56)+(((J$102)-$G105)*$O$40/($G105-$F$30))/(1+$G105)^$O$56)*(1+$G105)^$F$72+$F$74)/$F$19</f>
        <v>43.389452317308461</v>
      </c>
      <c r="K105" s="68" cm="1">
        <f t="array" ref="K105">(($J$40+SUMPRODUCT(($K$37:$O$37-$G105*$K$41:$O$41)/(1+$G105)^$K$56:$O$56)+(((K$102)-$G105)*$O$40/($G105-$F$30))/(1+$G105)^$O$56)*(1+$G105)^$F$72+$F$74)/$F$19</f>
        <v>55.119220658339664</v>
      </c>
      <c r="L105" s="68" cm="1">
        <f t="array" ref="L105">(($J$40+SUMPRODUCT(($K$37:$O$37-$G105*$K$41:$O$41)/(1+$G105)^$K$56:$O$56)+(((L$102)-$G105)*$O$40/($G105-$F$30))/(1+$G105)^$O$56)*(1+$G105)^$F$72+$F$74)/$F$19</f>
        <v>66.848988999370874</v>
      </c>
    </row>
    <row r="106" spans="2:17" x14ac:dyDescent="0.2">
      <c r="G106" s="148">
        <f>$F$27+(1)*$E$101</f>
        <v>0.1633</v>
      </c>
      <c r="H106" s="68" cm="1">
        <f t="array" ref="H106">(($J$40+SUMPRODUCT(($K$37:$O$37-$G106*$K$41:$O$41)/(1+$G106)^$K$56:$O$56)+(((H$102)-$G106)*$O$40/($G106-$F$30))/(1+$G106)^$O$56)*(1+$G106)^$F$72+$F$74)/$F$19</f>
        <v>16.301171572565664</v>
      </c>
      <c r="I106" s="68" cm="1">
        <f t="array" ref="I106">(($J$40+SUMPRODUCT(($K$37:$O$37-$G106*$K$41:$O$41)/(1+$G106)^$K$56:$O$56)+(((I$102)-$G106)*$O$40/($G106-$F$30))/(1+$G106)^$O$56)*(1+$G106)^$F$72+$F$74)/$F$19</f>
        <v>26.591424798749401</v>
      </c>
      <c r="J106" s="68" cm="1">
        <f t="array" ref="J106">(($J$40+SUMPRODUCT(($K$37:$O$37-$G106*$K$41:$O$41)/(1+$G106)^$K$56:$O$56)+(((J$102)-$G106)*$O$40/($G106-$F$30))/(1+$G106)^$O$56)*(1+$G106)^$F$72+$F$74)/$F$19</f>
        <v>36.881678024933144</v>
      </c>
      <c r="K106" s="68" cm="1">
        <f t="array" ref="K106">(($J$40+SUMPRODUCT(($K$37:$O$37-$G106*$K$41:$O$41)/(1+$G106)^$K$56:$O$56)+(((K$102)-$G106)*$O$40/($G106-$F$30))/(1+$G106)^$O$56)*(1+$G106)^$F$72+$F$74)/$F$19</f>
        <v>47.171931251116888</v>
      </c>
      <c r="L106" s="68" cm="1">
        <f t="array" ref="L106">(($J$40+SUMPRODUCT(($K$37:$O$37-$G106*$K$41:$O$41)/(1+$G106)^$K$56:$O$56)+(((L$102)-$G106)*$O$40/($G106-$F$30))/(1+$G106)^$O$56)*(1+$G106)^$F$72+$F$74)/$F$19</f>
        <v>57.462184477300632</v>
      </c>
    </row>
    <row r="107" spans="2:17" x14ac:dyDescent="0.2">
      <c r="G107" s="148">
        <f>$F$27+(2)*$E$101</f>
        <v>0.17329999999999998</v>
      </c>
      <c r="H107" s="68" cm="1">
        <f t="array" ref="H107">(($J$40+SUMPRODUCT(($K$37:$O$37-$G107*$K$41:$O$41)/(1+$G107)^$K$56:$O$56)+(((H$102)-$G107)*$O$40/($G107-$F$30))/(1+$G107)^$O$56)*(1+$G107)^$F$72+$F$74)/$F$19</f>
        <v>13.335832506279193</v>
      </c>
      <c r="I107" s="68" cm="1">
        <f t="array" ref="I107">(($J$40+SUMPRODUCT(($K$37:$O$37-$G107*$K$41:$O$41)/(1+$G107)^$K$56:$O$56)+(((I$102)-$G107)*$O$40/($G107-$F$30))/(1+$G107)^$O$56)*(1+$G107)^$F$72+$F$74)/$F$19</f>
        <v>22.43710976061217</v>
      </c>
      <c r="J107" s="68" cm="1">
        <f t="array" ref="J107">(($J$40+SUMPRODUCT(($K$37:$O$37-$G107*$K$41:$O$41)/(1+$G107)^$K$56:$O$56)+(((J$102)-$G107)*$O$40/($G107-$F$30))/(1+$G107)^$O$56)*(1+$G107)^$F$72+$F$74)/$F$19</f>
        <v>31.538387014945155</v>
      </c>
      <c r="K107" s="68" cm="1">
        <f t="array" ref="K107">(($J$40+SUMPRODUCT(($K$37:$O$37-$G107*$K$41:$O$41)/(1+$G107)^$K$56:$O$56)+(((K$102)-$G107)*$O$40/($G107-$F$30))/(1+$G107)^$O$56)*(1+$G107)^$F$72+$F$74)/$F$19</f>
        <v>40.639664269278114</v>
      </c>
      <c r="L107" s="68" cm="1">
        <f t="array" ref="L107">(($J$40+SUMPRODUCT(($K$37:$O$37-$G107*$K$41:$O$41)/(1+$G107)^$K$56:$O$56)+(((L$102)-$G107)*$O$40/($G107-$F$30))/(1+$G107)^$O$56)*(1+$G107)^$F$72+$F$74)/$F$19</f>
        <v>49.740941523611099</v>
      </c>
    </row>
    <row r="108" spans="2:17" x14ac:dyDescent="0.2">
      <c r="B108" s="11" t="s">
        <v>450</v>
      </c>
      <c r="C108" s="11"/>
      <c r="D108" s="11"/>
      <c r="E108" s="11"/>
      <c r="F108" s="100" t="str">
        <f>IF(ROUND(J105-$F$77,6)=0,"OK","ERROR")</f>
        <v>OK</v>
      </c>
    </row>
    <row r="110" spans="2:17" x14ac:dyDescent="0.2">
      <c r="B110" s="5" t="s">
        <v>451</v>
      </c>
      <c r="F110" s="58" cm="1">
        <f t="array" ref="F110">IF(AND(SUMPRODUCT(ABS($K$42:$O$42))=0,$F$33="OK",$F$98="OK",$F$108="OK",SUMPRODUCT(--ISERROR($F$37:$O$86))=0),0,1)</f>
        <v>0</v>
      </c>
      <c r="Q110" s="1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74D6-A486-6F46-A45E-5C0478F1D8E4}">
  <sheetPr>
    <tabColor rgb="FF9C1D26"/>
  </sheetPr>
  <dimension ref="A3:R112"/>
  <sheetViews>
    <sheetView showGridLines="0" workbookViewId="0">
      <pane ySplit="5" topLeftCell="A6" activePane="bottomLeft" state="frozen"/>
      <selection pane="bottomLeft" activeCell="N31" sqref="N31"/>
    </sheetView>
  </sheetViews>
  <sheetFormatPr baseColWidth="10" defaultRowHeight="16" x14ac:dyDescent="0.2"/>
  <cols>
    <col min="1" max="1" width="2.5" style="1" customWidth="1"/>
    <col min="2" max="2" width="35" style="1" customWidth="1"/>
    <col min="3" max="16" width="11.33203125" style="1" customWidth="1"/>
    <col min="17" max="17" width="1.6640625" style="1" customWidth="1"/>
    <col min="18" max="18" width="63.33203125" style="1" customWidth="1"/>
  </cols>
  <sheetData>
    <row r="3" spans="2:18" ht="20" x14ac:dyDescent="0.25">
      <c r="B3" s="150" t="s">
        <v>454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</row>
    <row r="5" spans="2:18" x14ac:dyDescent="0.2">
      <c r="B5" s="3" t="s">
        <v>455</v>
      </c>
      <c r="R5" s="5" t="s">
        <v>337</v>
      </c>
    </row>
    <row r="6" spans="2:18" x14ac:dyDescent="0.2">
      <c r="B6" s="3" t="s">
        <v>456</v>
      </c>
    </row>
    <row r="8" spans="2:18" x14ac:dyDescent="0.2">
      <c r="B8" s="5" t="s">
        <v>457</v>
      </c>
    </row>
    <row r="9" spans="2:18" x14ac:dyDescent="0.2">
      <c r="B9" s="1" t="s">
        <v>344</v>
      </c>
      <c r="F9" s="67">
        <f>'DCF Valuation'!$F$15</f>
        <v>46308</v>
      </c>
      <c r="R9" s="1" t="s">
        <v>458</v>
      </c>
    </row>
    <row r="10" spans="2:18" x14ac:dyDescent="0.2">
      <c r="B10" s="1" t="s">
        <v>459</v>
      </c>
      <c r="F10" s="102" t="s">
        <v>460</v>
      </c>
      <c r="R10" s="1" t="s">
        <v>461</v>
      </c>
    </row>
    <row r="11" spans="2:18" x14ac:dyDescent="0.2">
      <c r="B11" s="1" t="s">
        <v>462</v>
      </c>
      <c r="F11" s="70">
        <v>78.83</v>
      </c>
      <c r="R11" s="1" t="s">
        <v>618</v>
      </c>
    </row>
    <row r="12" spans="2:18" x14ac:dyDescent="0.2">
      <c r="B12" s="1" t="s">
        <v>463</v>
      </c>
      <c r="F12" s="104">
        <v>0</v>
      </c>
      <c r="R12" s="1" t="s">
        <v>464</v>
      </c>
    </row>
    <row r="14" spans="2:18" x14ac:dyDescent="0.2">
      <c r="B14" s="5" t="s">
        <v>465</v>
      </c>
    </row>
    <row r="15" spans="2:18" ht="17" thickBot="1" x14ac:dyDescent="0.25">
      <c r="B15" s="106" t="s">
        <v>466</v>
      </c>
      <c r="C15" s="106" t="s">
        <v>467</v>
      </c>
      <c r="D15" s="106" t="s">
        <v>468</v>
      </c>
      <c r="E15" s="106" t="s">
        <v>469</v>
      </c>
      <c r="F15" s="106" t="s">
        <v>470</v>
      </c>
      <c r="G15" s="106"/>
      <c r="H15" s="106"/>
      <c r="I15" s="106"/>
      <c r="J15" s="106"/>
      <c r="K15" s="106"/>
      <c r="L15" s="106"/>
      <c r="M15" s="106"/>
      <c r="N15" s="106"/>
      <c r="O15" s="106"/>
      <c r="P15" s="106"/>
    </row>
    <row r="16" spans="2:18" x14ac:dyDescent="0.2">
      <c r="B16" s="1" t="s">
        <v>471</v>
      </c>
      <c r="C16" s="107" t="s">
        <v>472</v>
      </c>
      <c r="D16" s="107" t="s">
        <v>473</v>
      </c>
      <c r="E16" s="108" t="s">
        <v>474</v>
      </c>
      <c r="F16" s="2" t="s">
        <v>490</v>
      </c>
    </row>
    <row r="17" spans="2:18" x14ac:dyDescent="0.2">
      <c r="B17" s="1" t="s">
        <v>475</v>
      </c>
      <c r="C17" s="107" t="s">
        <v>476</v>
      </c>
      <c r="D17" s="107" t="s">
        <v>477</v>
      </c>
      <c r="E17" s="108" t="s">
        <v>474</v>
      </c>
      <c r="F17" s="2" t="s">
        <v>491</v>
      </c>
    </row>
    <row r="18" spans="2:18" x14ac:dyDescent="0.2">
      <c r="B18" s="1" t="s">
        <v>478</v>
      </c>
      <c r="C18" s="107" t="s">
        <v>479</v>
      </c>
      <c r="D18" s="107" t="s">
        <v>473</v>
      </c>
      <c r="E18" s="108" t="s">
        <v>474</v>
      </c>
      <c r="F18" s="2" t="s">
        <v>492</v>
      </c>
    </row>
    <row r="19" spans="2:18" x14ac:dyDescent="0.2">
      <c r="B19" s="1" t="s">
        <v>480</v>
      </c>
      <c r="C19" s="107" t="s">
        <v>481</v>
      </c>
      <c r="D19" s="107" t="s">
        <v>482</v>
      </c>
      <c r="E19" s="108" t="s">
        <v>483</v>
      </c>
      <c r="F19" s="2" t="s">
        <v>493</v>
      </c>
    </row>
    <row r="20" spans="2:18" x14ac:dyDescent="0.2">
      <c r="B20" s="1" t="s">
        <v>484</v>
      </c>
      <c r="C20" s="107" t="s">
        <v>485</v>
      </c>
      <c r="D20" s="107" t="s">
        <v>473</v>
      </c>
      <c r="E20" s="108" t="s">
        <v>486</v>
      </c>
      <c r="F20" s="2" t="s">
        <v>494</v>
      </c>
    </row>
    <row r="21" spans="2:18" x14ac:dyDescent="0.2">
      <c r="B21" s="1" t="s">
        <v>487</v>
      </c>
      <c r="C21" s="107" t="s">
        <v>488</v>
      </c>
      <c r="D21" s="107" t="s">
        <v>482</v>
      </c>
      <c r="E21" s="108" t="s">
        <v>489</v>
      </c>
      <c r="F21" s="2" t="s">
        <v>495</v>
      </c>
    </row>
    <row r="23" spans="2:18" x14ac:dyDescent="0.2">
      <c r="B23" s="5" t="s">
        <v>496</v>
      </c>
    </row>
    <row r="24" spans="2:18" ht="42" customHeight="1" thickBot="1" x14ac:dyDescent="0.25">
      <c r="B24" s="109" t="s">
        <v>466</v>
      </c>
      <c r="C24" s="109" t="s">
        <v>497</v>
      </c>
      <c r="D24" s="109" t="s">
        <v>498</v>
      </c>
      <c r="E24" s="109" t="s">
        <v>499</v>
      </c>
      <c r="F24" s="109" t="s">
        <v>500</v>
      </c>
      <c r="G24" s="109" t="s">
        <v>501</v>
      </c>
      <c r="H24" s="109" t="s">
        <v>502</v>
      </c>
      <c r="I24" s="109" t="s">
        <v>503</v>
      </c>
      <c r="J24" s="109" t="s">
        <v>504</v>
      </c>
      <c r="K24" s="109" t="s">
        <v>505</v>
      </c>
      <c r="L24" s="109" t="s">
        <v>34</v>
      </c>
      <c r="M24" s="109" t="s">
        <v>506</v>
      </c>
      <c r="N24" s="109" t="s">
        <v>507</v>
      </c>
      <c r="O24" s="109" t="s">
        <v>508</v>
      </c>
      <c r="R24" s="1" t="s">
        <v>513</v>
      </c>
    </row>
    <row r="25" spans="2:18" x14ac:dyDescent="0.2">
      <c r="B25" s="1" t="s">
        <v>471</v>
      </c>
      <c r="C25" s="101" t="s">
        <v>509</v>
      </c>
      <c r="D25" s="70">
        <v>329.4</v>
      </c>
      <c r="E25" s="70">
        <v>2</v>
      </c>
      <c r="F25" s="103">
        <v>492.86</v>
      </c>
      <c r="G25" s="69">
        <f>F25/E25</f>
        <v>246.43</v>
      </c>
      <c r="H25" s="88">
        <f>D25*G25</f>
        <v>81174.042000000001</v>
      </c>
      <c r="I25" s="103">
        <v>37155.94</v>
      </c>
      <c r="J25" s="103">
        <v>4117.32</v>
      </c>
      <c r="K25" s="103">
        <v>32135.77</v>
      </c>
      <c r="L25" s="103">
        <v>387521.49</v>
      </c>
      <c r="M25" s="69">
        <f>I25/G25</f>
        <v>150.77685346751613</v>
      </c>
      <c r="N25" s="69">
        <f>J25/G25</f>
        <v>16.707868360183419</v>
      </c>
      <c r="O25" s="70">
        <v>16.739999999999998</v>
      </c>
      <c r="R25" s="1" t="s">
        <v>514</v>
      </c>
    </row>
    <row r="26" spans="2:18" x14ac:dyDescent="0.2">
      <c r="B26" s="1" t="s">
        <v>475</v>
      </c>
      <c r="C26" s="101" t="s">
        <v>509</v>
      </c>
      <c r="D26" s="70">
        <v>991.5</v>
      </c>
      <c r="E26" s="70">
        <v>10</v>
      </c>
      <c r="F26" s="103">
        <v>748.27</v>
      </c>
      <c r="G26" s="69">
        <f>F26/E26</f>
        <v>74.826999999999998</v>
      </c>
      <c r="H26" s="88">
        <f>D26*G26</f>
        <v>74190.970499999996</v>
      </c>
      <c r="I26" s="103">
        <v>19974</v>
      </c>
      <c r="J26" s="103">
        <v>2641.25</v>
      </c>
      <c r="K26" s="103">
        <v>21614.28</v>
      </c>
      <c r="L26" s="103">
        <v>191797.47</v>
      </c>
      <c r="M26" s="69">
        <f>I26/G26</f>
        <v>266.93573175458056</v>
      </c>
      <c r="N26" s="69">
        <f>J26/G26</f>
        <v>35.298087588704611</v>
      </c>
      <c r="O26" s="70">
        <v>35.4</v>
      </c>
      <c r="R26" s="1" t="s">
        <v>515</v>
      </c>
    </row>
    <row r="27" spans="2:18" x14ac:dyDescent="0.2">
      <c r="B27" s="1" t="s">
        <v>478</v>
      </c>
      <c r="C27" s="101" t="s">
        <v>509</v>
      </c>
      <c r="D27" s="70">
        <v>172</v>
      </c>
      <c r="E27" s="70">
        <v>10</v>
      </c>
      <c r="F27" s="103">
        <v>1610.97</v>
      </c>
      <c r="G27" s="69">
        <f>F27/E27</f>
        <v>161.09700000000001</v>
      </c>
      <c r="H27" s="88">
        <f>D27*G27</f>
        <v>27708.684000000001</v>
      </c>
      <c r="I27" s="103">
        <v>25574.9</v>
      </c>
      <c r="J27" s="103">
        <v>1223.56</v>
      </c>
      <c r="K27" s="103">
        <v>24423.14</v>
      </c>
      <c r="L27" s="103">
        <v>211123.73</v>
      </c>
      <c r="M27" s="69">
        <f>I27/G27</f>
        <v>158.7546633394787</v>
      </c>
      <c r="N27" s="69">
        <f>J27/G27</f>
        <v>7.5951755774471277</v>
      </c>
      <c r="O27" s="70">
        <v>7.6</v>
      </c>
      <c r="R27" s="1" t="s">
        <v>516</v>
      </c>
    </row>
    <row r="28" spans="2:18" x14ac:dyDescent="0.2">
      <c r="B28" s="1" t="s">
        <v>480</v>
      </c>
      <c r="C28" s="101" t="s">
        <v>510</v>
      </c>
      <c r="D28" s="70">
        <v>877.35</v>
      </c>
      <c r="E28" s="70">
        <v>10</v>
      </c>
      <c r="F28" s="103">
        <v>779.05</v>
      </c>
      <c r="G28" s="69">
        <f>F28/E28</f>
        <v>77.905000000000001</v>
      </c>
      <c r="H28" s="88">
        <f>D28*G28</f>
        <v>68349.951750000007</v>
      </c>
      <c r="I28" s="103">
        <v>62866.98</v>
      </c>
      <c r="J28" s="103">
        <v>889.34</v>
      </c>
      <c r="K28" s="103">
        <v>53480</v>
      </c>
      <c r="L28" s="103">
        <v>543394</v>
      </c>
      <c r="M28" s="69">
        <f>I28/G28</f>
        <v>806.96977087478342</v>
      </c>
      <c r="N28" s="69">
        <f>J28/G28</f>
        <v>11.415698607278095</v>
      </c>
      <c r="O28" s="70" t="s">
        <v>511</v>
      </c>
      <c r="R28" s="1" t="s">
        <v>517</v>
      </c>
    </row>
    <row r="29" spans="2:18" x14ac:dyDescent="0.2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2:18" x14ac:dyDescent="0.2">
      <c r="B30" s="110" t="s">
        <v>512</v>
      </c>
      <c r="C30" s="111" t="s">
        <v>509</v>
      </c>
      <c r="D30" s="112">
        <f>$F$11</f>
        <v>78.83</v>
      </c>
      <c r="E30" s="113">
        <f>'DCF Valuation'!$F$18</f>
        <v>10</v>
      </c>
      <c r="F30" s="114">
        <f>Historicals!$J$24</f>
        <v>8601.7000000000007</v>
      </c>
      <c r="G30" s="115">
        <f>F30/E30</f>
        <v>860.17000000000007</v>
      </c>
      <c r="H30" s="116">
        <f>D30*G30</f>
        <v>67807.201100000006</v>
      </c>
      <c r="I30" s="114">
        <f>Model!$J$101</f>
        <v>47351.839999999997</v>
      </c>
      <c r="J30" s="114">
        <f>Model!$J$30+$F$12</f>
        <v>1636.3600000000004</v>
      </c>
      <c r="K30" s="114">
        <f>Historicals!$J$12+Historicals!$J$13</f>
        <v>48422.11</v>
      </c>
      <c r="L30" s="114">
        <f>Model!$J$90</f>
        <v>399780.09</v>
      </c>
      <c r="M30" s="115">
        <f>I30/G30</f>
        <v>55.049397212178981</v>
      </c>
      <c r="N30" s="115">
        <f>J30/G30</f>
        <v>1.9023681365311511</v>
      </c>
      <c r="O30" s="117">
        <v>1.93</v>
      </c>
      <c r="R30" s="1" t="s">
        <v>518</v>
      </c>
    </row>
    <row r="33" spans="2:18" x14ac:dyDescent="0.2">
      <c r="B33" s="5" t="s">
        <v>519</v>
      </c>
    </row>
    <row r="34" spans="2:18" ht="42" customHeight="1" thickBot="1" x14ac:dyDescent="0.25">
      <c r="B34" s="109" t="s">
        <v>466</v>
      </c>
      <c r="C34" s="109" t="s">
        <v>520</v>
      </c>
      <c r="D34" s="109" t="s">
        <v>521</v>
      </c>
      <c r="E34" s="109" t="s">
        <v>522</v>
      </c>
      <c r="F34" s="109" t="s">
        <v>523</v>
      </c>
      <c r="G34" s="109" t="s">
        <v>524</v>
      </c>
      <c r="H34" s="109" t="s">
        <v>525</v>
      </c>
      <c r="I34" s="109" t="s">
        <v>526</v>
      </c>
      <c r="J34" s="109" t="s">
        <v>527</v>
      </c>
      <c r="K34" s="109" t="s">
        <v>528</v>
      </c>
      <c r="L34" s="109" t="s">
        <v>529</v>
      </c>
      <c r="M34" s="109" t="s">
        <v>530</v>
      </c>
      <c r="N34" s="109" t="s">
        <v>542</v>
      </c>
      <c r="O34" s="109" t="s">
        <v>531</v>
      </c>
      <c r="P34" s="109" t="s">
        <v>532</v>
      </c>
      <c r="R34" s="1" t="s">
        <v>538</v>
      </c>
    </row>
    <row r="35" spans="2:18" x14ac:dyDescent="0.2">
      <c r="B35" s="1" t="str">
        <f>B25</f>
        <v>Federal Bank</v>
      </c>
      <c r="C35" s="108" t="s">
        <v>533</v>
      </c>
      <c r="D35" s="108" t="s">
        <v>533</v>
      </c>
      <c r="E35" s="118">
        <f>D25/M25</f>
        <v>2.1846854634817472</v>
      </c>
      <c r="F35" s="118">
        <f>IF(N25&lt;=0,"n/m",D25/N25)</f>
        <v>19.715261869371339</v>
      </c>
      <c r="G35" s="74">
        <f>J25/I25</f>
        <v>0.11081189171906294</v>
      </c>
      <c r="H35" s="74">
        <f>J25/L25</f>
        <v>1.0624752707262763E-2</v>
      </c>
      <c r="I35" s="75">
        <v>1.15E-2</v>
      </c>
      <c r="J35" s="74" t="s">
        <v>511</v>
      </c>
      <c r="K35" s="75">
        <v>1.6199999999999999E-2</v>
      </c>
      <c r="L35" s="75">
        <v>2E-3</v>
      </c>
      <c r="M35" s="75">
        <v>0.17249999999999999</v>
      </c>
      <c r="N35" s="88">
        <f>H25</f>
        <v>81174.042000000001</v>
      </c>
      <c r="O35" s="119">
        <f>IF(C35="Y",E35,"")</f>
        <v>2.1846854634817472</v>
      </c>
      <c r="P35" s="119">
        <f>IF(AND(D35="Y",ISNUMBER(F35)),F35,"")</f>
        <v>19.715261869371339</v>
      </c>
      <c r="R35" s="1" t="s">
        <v>539</v>
      </c>
    </row>
    <row r="36" spans="2:18" x14ac:dyDescent="0.2">
      <c r="B36" s="1" t="str">
        <f>B26</f>
        <v>AU Small Finance Bank</v>
      </c>
      <c r="C36" s="108" t="s">
        <v>533</v>
      </c>
      <c r="D36" s="108" t="s">
        <v>533</v>
      </c>
      <c r="E36" s="118">
        <f>D26/M26</f>
        <v>3.7143772153799941</v>
      </c>
      <c r="F36" s="118">
        <f>IF(N26&lt;=0,"n/m",D26/N26)</f>
        <v>28.089340463795551</v>
      </c>
      <c r="G36" s="74">
        <f>J26/I26</f>
        <v>0.13223440472614398</v>
      </c>
      <c r="H36" s="74">
        <f>J26/L26</f>
        <v>1.3771036708669828E-2</v>
      </c>
      <c r="I36" s="75">
        <v>1.5699999999999999E-2</v>
      </c>
      <c r="J36" s="75">
        <v>5.96E-2</v>
      </c>
      <c r="K36" s="75">
        <v>2.0299999999999999E-2</v>
      </c>
      <c r="L36" s="75">
        <v>7.4000000000000003E-3</v>
      </c>
      <c r="M36" s="75">
        <v>0.18679999999999999</v>
      </c>
      <c r="N36" s="88">
        <f>H26</f>
        <v>74190.970499999996</v>
      </c>
      <c r="O36" s="119">
        <f>IF(C36="Y",E36,"")</f>
        <v>3.7143772153799941</v>
      </c>
      <c r="P36" s="119">
        <f>IF(AND(D36="Y",ISNUMBER(F36)),F36,"")</f>
        <v>28.089340463795551</v>
      </c>
    </row>
    <row r="37" spans="2:18" x14ac:dyDescent="0.2">
      <c r="B37" s="1" t="str">
        <f>B27</f>
        <v>Bandhan Bank</v>
      </c>
      <c r="C37" s="108" t="s">
        <v>533</v>
      </c>
      <c r="D37" s="108" t="s">
        <v>533</v>
      </c>
      <c r="E37" s="118">
        <f>D27/M27</f>
        <v>1.0834327406949782</v>
      </c>
      <c r="F37" s="118">
        <f>IF(N27&lt;=0,"n/m",D27/N27)</f>
        <v>22.645954428062378</v>
      </c>
      <c r="G37" s="74">
        <f>J27/I27</f>
        <v>4.7842220301936661E-2</v>
      </c>
      <c r="H37" s="74">
        <f>J27/L27</f>
        <v>5.7954641100742199E-3</v>
      </c>
      <c r="I37" s="75">
        <v>6.4000000000000003E-3</v>
      </c>
      <c r="J37" s="75">
        <v>6.0999999999999999E-2</v>
      </c>
      <c r="K37" s="75">
        <v>3.27E-2</v>
      </c>
      <c r="L37" s="75">
        <v>9.7000000000000003E-3</v>
      </c>
      <c r="M37" s="75">
        <v>0.18</v>
      </c>
      <c r="N37" s="88">
        <f>H27</f>
        <v>27708.684000000001</v>
      </c>
      <c r="O37" s="119">
        <f>IF(C37="Y",E37,"")</f>
        <v>1.0834327406949782</v>
      </c>
      <c r="P37" s="119">
        <f>IF(AND(D37="Y",ISNUMBER(F37)),F37,"")</f>
        <v>22.645954428062378</v>
      </c>
    </row>
    <row r="38" spans="2:18" x14ac:dyDescent="0.2">
      <c r="B38" s="1" t="str">
        <f>B28</f>
        <v>IndusInd Bank</v>
      </c>
      <c r="C38" s="108" t="s">
        <v>533</v>
      </c>
      <c r="D38" s="108" t="s">
        <v>534</v>
      </c>
      <c r="E38" s="118">
        <f>D28/M28</f>
        <v>1.0872154468053021</v>
      </c>
      <c r="F38" s="118">
        <f>IF(N28&lt;=0,"n/m",D28/N28)</f>
        <v>76.854691962578997</v>
      </c>
      <c r="G38" s="74">
        <f>J28/I28</f>
        <v>1.4146377001090239E-2</v>
      </c>
      <c r="H38" s="74">
        <f>J28/L28</f>
        <v>1.6366393445639814E-3</v>
      </c>
      <c r="I38" s="74" t="s">
        <v>511</v>
      </c>
      <c r="J38" s="75">
        <v>3.39E-2</v>
      </c>
      <c r="K38" s="75">
        <v>3.4299999999999997E-2</v>
      </c>
      <c r="L38" s="75">
        <v>0.01</v>
      </c>
      <c r="M38" s="75">
        <v>0.17480000000000001</v>
      </c>
      <c r="N38" s="88">
        <f>H28</f>
        <v>68349.951750000007</v>
      </c>
      <c r="O38" s="119">
        <f>IF(C38="Y",E38,"")</f>
        <v>1.0872154468053021</v>
      </c>
      <c r="P38" s="119" t="str">
        <f>IF(AND(D38="Y",ISNUMBER(F38)),F38,"")</f>
        <v/>
      </c>
      <c r="R38" s="1" t="s">
        <v>540</v>
      </c>
    </row>
    <row r="39" spans="2:18" x14ac:dyDescent="0.2">
      <c r="B39" s="125" t="s">
        <v>536</v>
      </c>
      <c r="C39" s="126"/>
      <c r="D39" s="126"/>
      <c r="E39" s="127">
        <f>AVERAGE($O$35:$O$38)</f>
        <v>2.0174277165905052</v>
      </c>
      <c r="F39" s="127">
        <f>AVERAGE($P$35:$P$38)</f>
        <v>23.483518920409754</v>
      </c>
      <c r="G39" s="128">
        <f t="shared" ref="G39:N39" si="0">AVERAGE(G35:G38)</f>
        <v>7.6258723437058445E-2</v>
      </c>
      <c r="H39" s="128">
        <f t="shared" si="0"/>
        <v>7.9569732176426981E-3</v>
      </c>
      <c r="I39" s="128">
        <f t="shared" si="0"/>
        <v>1.12E-2</v>
      </c>
      <c r="J39" s="128">
        <f t="shared" si="0"/>
        <v>5.1499999999999997E-2</v>
      </c>
      <c r="K39" s="128">
        <f t="shared" si="0"/>
        <v>2.5874999999999999E-2</v>
      </c>
      <c r="L39" s="128">
        <f t="shared" si="0"/>
        <v>7.2750000000000002E-3</v>
      </c>
      <c r="M39" s="128">
        <f t="shared" si="0"/>
        <v>0.17852499999999999</v>
      </c>
      <c r="N39" s="132">
        <f t="shared" si="0"/>
        <v>62855.912062500007</v>
      </c>
      <c r="O39" s="126"/>
      <c r="P39" s="126"/>
    </row>
    <row r="40" spans="2:18" x14ac:dyDescent="0.2">
      <c r="B40" s="105" t="s">
        <v>537</v>
      </c>
      <c r="C40" s="129"/>
      <c r="D40" s="129"/>
      <c r="E40" s="130">
        <f>MEDIAN($O$35:$O$38)</f>
        <v>1.6359504551435247</v>
      </c>
      <c r="F40" s="130">
        <f>MEDIAN($P$35:$P$38)</f>
        <v>22.645954428062378</v>
      </c>
      <c r="G40" s="131">
        <f t="shared" ref="G40:N40" si="1">MEDIAN(G35:G38)</f>
        <v>7.9327056010499802E-2</v>
      </c>
      <c r="H40" s="131">
        <f t="shared" si="1"/>
        <v>8.2101084086684921E-3</v>
      </c>
      <c r="I40" s="131">
        <f t="shared" si="1"/>
        <v>1.15E-2</v>
      </c>
      <c r="J40" s="131">
        <f t="shared" si="1"/>
        <v>5.96E-2</v>
      </c>
      <c r="K40" s="131">
        <f t="shared" si="1"/>
        <v>2.6499999999999999E-2</v>
      </c>
      <c r="L40" s="131">
        <f t="shared" si="1"/>
        <v>8.5500000000000003E-3</v>
      </c>
      <c r="M40" s="131">
        <f t="shared" si="1"/>
        <v>0.1774</v>
      </c>
      <c r="N40" s="133">
        <f t="shared" si="1"/>
        <v>71270.461125000002</v>
      </c>
      <c r="O40" s="129"/>
      <c r="P40" s="129"/>
    </row>
    <row r="41" spans="2:18" x14ac:dyDescent="0.2">
      <c r="B41" s="110" t="str">
        <f>B30</f>
        <v>IDFC FIRST Bank (subject)</v>
      </c>
      <c r="C41" s="120" t="s">
        <v>535</v>
      </c>
      <c r="D41" s="120" t="s">
        <v>535</v>
      </c>
      <c r="E41" s="121">
        <f>D30/M30</f>
        <v>1.4319866155148355</v>
      </c>
      <c r="F41" s="121">
        <f>IF(N30&lt;=0,"n/m",D30/N30)</f>
        <v>41.437826089613523</v>
      </c>
      <c r="G41" s="122">
        <f>J30/I30</f>
        <v>3.4557474429715941E-2</v>
      </c>
      <c r="H41" s="122">
        <f>J30/L30</f>
        <v>4.0931503117126221E-3</v>
      </c>
      <c r="I41" s="123">
        <v>4.4000000000000003E-3</v>
      </c>
      <c r="J41" s="123">
        <v>5.7500000000000002E-2</v>
      </c>
      <c r="K41" s="124">
        <f>Historicals!$J$56</f>
        <v>1.61E-2</v>
      </c>
      <c r="L41" s="124">
        <f>Historicals!$J$57</f>
        <v>4.7999999999999996E-3</v>
      </c>
      <c r="M41" s="124">
        <f>Historicals!$J$58</f>
        <v>0.156</v>
      </c>
      <c r="N41" s="116">
        <f>H30</f>
        <v>67807.201100000006</v>
      </c>
      <c r="O41" s="111"/>
      <c r="P41" s="111"/>
      <c r="R41" s="1" t="s">
        <v>541</v>
      </c>
    </row>
    <row r="44" spans="2:18" x14ac:dyDescent="0.2">
      <c r="B44" s="5" t="s">
        <v>543</v>
      </c>
    </row>
    <row r="45" spans="2:18" ht="30" customHeight="1" thickBot="1" x14ac:dyDescent="0.25">
      <c r="B45" s="109" t="s">
        <v>466</v>
      </c>
      <c r="C45" s="109" t="s">
        <v>544</v>
      </c>
      <c r="D45" s="109" t="s">
        <v>545</v>
      </c>
      <c r="E45" s="109" t="s">
        <v>546</v>
      </c>
      <c r="F45" s="109" t="s">
        <v>547</v>
      </c>
      <c r="G45" s="109" t="s">
        <v>548</v>
      </c>
      <c r="R45" s="1" t="s">
        <v>561</v>
      </c>
    </row>
    <row r="46" spans="2:18" x14ac:dyDescent="0.2">
      <c r="B46" s="1" t="str">
        <f>B25</f>
        <v>Federal Bank</v>
      </c>
      <c r="C46" s="134"/>
      <c r="D46" s="134"/>
      <c r="E46" s="118" t="str">
        <f>IF(AND(ISNUMBER(C46),D35="Y"),D25/C46,"")</f>
        <v/>
      </c>
      <c r="F46" s="118" t="str">
        <f>IF(AND(ISNUMBER(D46),C35="Y"),D25/D46,"")</f>
        <v/>
      </c>
      <c r="G46" s="101" t="str">
        <f>C35&amp;"/"&amp;D35</f>
        <v>Y/Y</v>
      </c>
    </row>
    <row r="47" spans="2:18" x14ac:dyDescent="0.2">
      <c r="B47" s="1" t="str">
        <f>B26</f>
        <v>AU Small Finance Bank</v>
      </c>
      <c r="C47" s="134"/>
      <c r="D47" s="134"/>
      <c r="E47" s="118" t="str">
        <f>IF(AND(ISNUMBER(C47),D36="Y"),D26/C47,"")</f>
        <v/>
      </c>
      <c r="F47" s="118" t="str">
        <f>IF(AND(ISNUMBER(D47),C36="Y"),D26/D47,"")</f>
        <v/>
      </c>
      <c r="G47" s="101" t="str">
        <f>C36&amp;"/"&amp;D36</f>
        <v>Y/Y</v>
      </c>
    </row>
    <row r="48" spans="2:18" x14ac:dyDescent="0.2">
      <c r="B48" s="1" t="str">
        <f>B27</f>
        <v>Bandhan Bank</v>
      </c>
      <c r="C48" s="134"/>
      <c r="D48" s="134"/>
      <c r="E48" s="118" t="str">
        <f>IF(AND(ISNUMBER(C48),D37="Y"),D27/C48,"")</f>
        <v/>
      </c>
      <c r="F48" s="118" t="str">
        <f>IF(AND(ISNUMBER(D48),C37="Y"),D27/D48,"")</f>
        <v/>
      </c>
      <c r="G48" s="101" t="str">
        <f>C37&amp;"/"&amp;D37</f>
        <v>Y/Y</v>
      </c>
    </row>
    <row r="49" spans="2:18" x14ac:dyDescent="0.2">
      <c r="B49" s="1" t="str">
        <f>B28</f>
        <v>IndusInd Bank</v>
      </c>
      <c r="C49" s="134"/>
      <c r="D49" s="134"/>
      <c r="E49" s="118" t="str">
        <f>IF(AND(ISNUMBER(C49),D38="Y"),D28/C49,"")</f>
        <v/>
      </c>
      <c r="F49" s="118" t="str">
        <f>IF(AND(ISNUMBER(D49),C38="Y"),D28/D49,"")</f>
        <v/>
      </c>
      <c r="G49" s="101" t="str">
        <f>C38&amp;"/"&amp;D38</f>
        <v>Y/N</v>
      </c>
    </row>
    <row r="50" spans="2:18" x14ac:dyDescent="0.2">
      <c r="B50" s="125" t="s">
        <v>549</v>
      </c>
      <c r="C50" s="126"/>
      <c r="D50" s="126"/>
      <c r="E50" s="127" t="str">
        <f>IF(COUNT(E46:E49)=0,"n/a",MEDIAN(E46:E49))</f>
        <v>n/a</v>
      </c>
      <c r="F50" s="127" t="str">
        <f>IF(COUNT(F46:F49)=0,"n/a",MEDIAN(F46:F49))</f>
        <v>n/a</v>
      </c>
      <c r="G50" s="125"/>
    </row>
    <row r="52" spans="2:18" x14ac:dyDescent="0.2">
      <c r="B52" s="5" t="s">
        <v>550</v>
      </c>
    </row>
    <row r="53" spans="2:18" x14ac:dyDescent="0.2">
      <c r="B53" s="1" t="s">
        <v>551</v>
      </c>
      <c r="F53" s="135">
        <f>Model!$K$30</f>
        <v>3322.8056920766462</v>
      </c>
      <c r="R53" s="1" t="s">
        <v>552</v>
      </c>
    </row>
    <row r="54" spans="2:18" x14ac:dyDescent="0.2">
      <c r="B54" s="1" t="s">
        <v>553</v>
      </c>
      <c r="F54" s="135">
        <f>Model!$K$101</f>
        <v>50459.60319207664</v>
      </c>
      <c r="R54" s="1" t="s">
        <v>554</v>
      </c>
    </row>
    <row r="55" spans="2:18" x14ac:dyDescent="0.2">
      <c r="B55" s="1" t="s">
        <v>555</v>
      </c>
      <c r="F55" s="135">
        <f>Model!$K$274</f>
        <v>0</v>
      </c>
      <c r="R55" s="1" t="s">
        <v>556</v>
      </c>
    </row>
    <row r="56" spans="2:18" x14ac:dyDescent="0.2">
      <c r="B56" s="1" t="s">
        <v>557</v>
      </c>
      <c r="F56" s="94">
        <f>$G$30+$F$55/$F$11</f>
        <v>860.17000000000007</v>
      </c>
      <c r="R56" s="1" t="s">
        <v>558</v>
      </c>
    </row>
    <row r="57" spans="2:18" x14ac:dyDescent="0.2">
      <c r="B57" s="1" t="s">
        <v>559</v>
      </c>
      <c r="F57" s="94">
        <f>$F$53/$F$56</f>
        <v>3.8629639397754465</v>
      </c>
    </row>
    <row r="58" spans="2:18" x14ac:dyDescent="0.2">
      <c r="B58" s="1" t="s">
        <v>560</v>
      </c>
      <c r="F58" s="94">
        <f>$F$54/$F$56</f>
        <v>58.662361151954421</v>
      </c>
    </row>
    <row r="61" spans="2:18" x14ac:dyDescent="0.2">
      <c r="B61" s="5" t="s">
        <v>562</v>
      </c>
    </row>
    <row r="62" spans="2:18" ht="42" customHeight="1" thickBot="1" x14ac:dyDescent="0.25">
      <c r="B62" s="109" t="s">
        <v>563</v>
      </c>
      <c r="C62" s="109" t="s">
        <v>497</v>
      </c>
      <c r="D62" s="109" t="s">
        <v>564</v>
      </c>
      <c r="E62" s="109" t="s">
        <v>565</v>
      </c>
      <c r="F62" s="109" t="s">
        <v>566</v>
      </c>
      <c r="G62" s="109" t="s">
        <v>567</v>
      </c>
      <c r="H62" s="109" t="s">
        <v>568</v>
      </c>
      <c r="I62" s="109" t="s">
        <v>569</v>
      </c>
      <c r="J62" s="109" t="s">
        <v>570</v>
      </c>
      <c r="K62" s="109" t="s">
        <v>571</v>
      </c>
    </row>
    <row r="63" spans="2:18" x14ac:dyDescent="0.2">
      <c r="B63" s="1" t="s">
        <v>572</v>
      </c>
      <c r="C63" s="136" t="s">
        <v>573</v>
      </c>
      <c r="D63" s="118">
        <f>$E$40</f>
        <v>1.6359504551435247</v>
      </c>
      <c r="E63" s="69">
        <f>$M$30</f>
        <v>55.049397212178981</v>
      </c>
      <c r="F63" s="69">
        <f>IF(ISNUMBER(D63),D63*E63,"n/a")</f>
        <v>90.058086424640877</v>
      </c>
      <c r="G63" s="88">
        <f>IF(ISNUMBER(F63),F63*$G$30,"n/a")</f>
        <v>77465.264199883342</v>
      </c>
      <c r="H63" s="90">
        <f>IF(ISNUMBER(F63),F63/$F$11-1,"n/a")</f>
        <v>0.14243418019333864</v>
      </c>
      <c r="I63" s="118">
        <f>$E$39</f>
        <v>2.0174277165905052</v>
      </c>
      <c r="J63" s="69">
        <f>IF(ISNUMBER(I63),I63*E63,"n/a")</f>
        <v>111.05817971744996</v>
      </c>
      <c r="K63" s="90">
        <f>IF(ISNUMBER(J63),J63/$F$11-1,"n/a")</f>
        <v>0.40883140577762234</v>
      </c>
      <c r="R63" s="1" t="s">
        <v>580</v>
      </c>
    </row>
    <row r="64" spans="2:18" x14ac:dyDescent="0.2">
      <c r="B64" s="1" t="s">
        <v>574</v>
      </c>
      <c r="C64" s="136" t="s">
        <v>575</v>
      </c>
      <c r="D64" s="118">
        <f>$F$40</f>
        <v>22.645954428062378</v>
      </c>
      <c r="E64" s="69">
        <f>$N$30</f>
        <v>1.9023681365311511</v>
      </c>
      <c r="F64" s="69">
        <f>IF(ISNUMBER(D64),D64*E64,"n/a")</f>
        <v>43.080942125282398</v>
      </c>
      <c r="G64" s="88">
        <f>IF(ISNUMBER(F64),F64*$G$30,"n/a")</f>
        <v>37056.933987904165</v>
      </c>
      <c r="H64" s="90">
        <f>IF(ISNUMBER(F64),F64/$F$11-1,"n/a")</f>
        <v>-0.4534955965332691</v>
      </c>
      <c r="I64" s="118">
        <f>$F$39</f>
        <v>23.483518920409754</v>
      </c>
      <c r="J64" s="69">
        <f>IF(ISNUMBER(I64),I64*E64,"n/a")</f>
        <v>44.674298127813934</v>
      </c>
      <c r="K64" s="90">
        <f>IF(ISNUMBER(J64),J64/$F$11-1,"n/a")</f>
        <v>-0.43328303783059829</v>
      </c>
      <c r="R64" s="1" t="s">
        <v>581</v>
      </c>
    </row>
    <row r="65" spans="2:18" x14ac:dyDescent="0.2">
      <c r="B65" s="1" t="s">
        <v>576</v>
      </c>
      <c r="C65" s="136" t="s">
        <v>577</v>
      </c>
      <c r="D65" s="118" t="str">
        <f>$F$50</f>
        <v>n/a</v>
      </c>
      <c r="E65" s="69">
        <f>$F$58</f>
        <v>58.662361151954421</v>
      </c>
      <c r="F65" s="69" t="str">
        <f>IF(ISNUMBER(D65),D65*E65,"n/a")</f>
        <v>n/a</v>
      </c>
      <c r="G65" s="88" t="str">
        <f>IF(ISNUMBER(F65),F65*$G$30,"n/a")</f>
        <v>n/a</v>
      </c>
      <c r="H65" s="90" t="str">
        <f>IF(ISNUMBER(F65),F65/$F$11-1,"n/a")</f>
        <v>n/a</v>
      </c>
      <c r="I65" s="118" t="str">
        <f>"n/a"</f>
        <v>n/a</v>
      </c>
      <c r="J65" s="69" t="str">
        <f>IF(ISNUMBER(I65),I65*E65,"n/a")</f>
        <v>n/a</v>
      </c>
      <c r="K65" s="90" t="str">
        <f>IF(ISNUMBER(J65),J65/$F$11-1,"n/a")</f>
        <v>n/a</v>
      </c>
      <c r="R65" s="1" t="s">
        <v>582</v>
      </c>
    </row>
    <row r="66" spans="2:18" x14ac:dyDescent="0.2">
      <c r="B66" s="1" t="s">
        <v>578</v>
      </c>
      <c r="C66" s="136" t="s">
        <v>579</v>
      </c>
      <c r="D66" s="118" t="str">
        <f>$E$50</f>
        <v>n/a</v>
      </c>
      <c r="E66" s="69">
        <f>$F$57</f>
        <v>3.8629639397754465</v>
      </c>
      <c r="F66" s="69" t="str">
        <f>IF(ISNUMBER(D66),D66*E66,"n/a")</f>
        <v>n/a</v>
      </c>
      <c r="G66" s="88" t="str">
        <f>IF(ISNUMBER(F66),F66*$G$30,"n/a")</f>
        <v>n/a</v>
      </c>
      <c r="H66" s="90" t="str">
        <f>IF(ISNUMBER(F66),F66/$F$11-1,"n/a")</f>
        <v>n/a</v>
      </c>
      <c r="I66" s="118" t="str">
        <f>"n/a"</f>
        <v>n/a</v>
      </c>
      <c r="J66" s="69" t="str">
        <f>IF(ISNUMBER(I66),I66*E66,"n/a")</f>
        <v>n/a</v>
      </c>
      <c r="K66" s="90" t="str">
        <f>IF(ISNUMBER(J66),J66/$F$11-1,"n/a")</f>
        <v>n/a</v>
      </c>
    </row>
    <row r="69" spans="2:18" x14ac:dyDescent="0.2">
      <c r="B69" s="5" t="s">
        <v>583</v>
      </c>
    </row>
    <row r="70" spans="2:18" x14ac:dyDescent="0.2">
      <c r="B70" s="1" t="s">
        <v>584</v>
      </c>
      <c r="F70" s="69">
        <f>$F$11</f>
        <v>78.83</v>
      </c>
    </row>
    <row r="71" spans="2:18" x14ac:dyDescent="0.2">
      <c r="B71" s="1" t="s">
        <v>585</v>
      </c>
      <c r="F71" s="69">
        <f>$F$63</f>
        <v>90.058086424640877</v>
      </c>
    </row>
    <row r="72" spans="2:18" x14ac:dyDescent="0.2">
      <c r="B72" s="1" t="s">
        <v>586</v>
      </c>
      <c r="F72" s="69">
        <f>$F$64</f>
        <v>43.080942125282398</v>
      </c>
    </row>
    <row r="73" spans="2:18" x14ac:dyDescent="0.2">
      <c r="B73" s="1" t="s">
        <v>587</v>
      </c>
      <c r="F73" s="69">
        <f>MIN($F$63:$F$66)</f>
        <v>43.080942125282398</v>
      </c>
      <c r="R73" s="1" t="s">
        <v>588</v>
      </c>
    </row>
    <row r="74" spans="2:18" x14ac:dyDescent="0.2">
      <c r="B74" s="1" t="s">
        <v>589</v>
      </c>
      <c r="F74" s="69">
        <f>MAX($F$63:$F$66)</f>
        <v>90.058086424640877</v>
      </c>
    </row>
    <row r="75" spans="2:18" ht="17" thickBot="1" x14ac:dyDescent="0.25">
      <c r="B75" s="158" t="s">
        <v>590</v>
      </c>
      <c r="C75" s="158"/>
      <c r="D75" s="158"/>
      <c r="E75" s="158"/>
      <c r="F75" s="160">
        <f>$F$76*$F$63+(1-$F$76)*$F$64</f>
        <v>78.313800349801255</v>
      </c>
      <c r="R75" s="1" t="s">
        <v>591</v>
      </c>
    </row>
    <row r="76" spans="2:18" ht="17" thickTop="1" x14ac:dyDescent="0.2">
      <c r="B76" s="1" t="s">
        <v>592</v>
      </c>
      <c r="F76" s="149">
        <v>0.75</v>
      </c>
      <c r="R76" s="1" t="s">
        <v>593</v>
      </c>
    </row>
    <row r="77" spans="2:18" x14ac:dyDescent="0.2">
      <c r="B77" s="5" t="s">
        <v>594</v>
      </c>
      <c r="C77" s="5"/>
      <c r="D77" s="5"/>
      <c r="E77" s="5"/>
      <c r="F77" s="137">
        <f>$F$75/$F$11-1</f>
        <v>-6.5482639883133187E-3</v>
      </c>
    </row>
    <row r="78" spans="2:18" x14ac:dyDescent="0.2">
      <c r="B78" s="1" t="s">
        <v>595</v>
      </c>
      <c r="F78" s="73">
        <f>'DCF Valuation'!$F$77</f>
        <v>43.389452317308461</v>
      </c>
      <c r="R78" s="1" t="str">
        <f>"Intrinsic value from the RIM (Ke "&amp;TEXT('DCF Valuation'!$F$27,"0.0%")&amp;", g "&amp;TEXT('DCF Valuation'!$F$30,"0.0%")&amp;")."</f>
        <v>Intrinsic value from the RIM (Ke 15.3%, g 5.0%).</v>
      </c>
    </row>
    <row r="79" spans="2:18" x14ac:dyDescent="0.2">
      <c r="B79" s="1" t="s">
        <v>596</v>
      </c>
      <c r="F79" s="90">
        <f>$F$78/$F$11-1</f>
        <v>-0.44958198252811798</v>
      </c>
    </row>
    <row r="82" spans="2:18" x14ac:dyDescent="0.2">
      <c r="B82" s="5" t="s">
        <v>597</v>
      </c>
    </row>
    <row r="83" spans="2:18" x14ac:dyDescent="0.2">
      <c r="B83" s="1" t="s">
        <v>598</v>
      </c>
      <c r="F83" s="138">
        <v>0.25</v>
      </c>
    </row>
    <row r="84" spans="2:18" ht="30" customHeight="1" thickBot="1" x14ac:dyDescent="0.25">
      <c r="D84" s="109" t="s">
        <v>599</v>
      </c>
      <c r="E84" s="109" t="s">
        <v>600</v>
      </c>
      <c r="F84" s="109" t="s">
        <v>568</v>
      </c>
      <c r="G84" s="109" t="s">
        <v>601</v>
      </c>
      <c r="H84" s="109" t="s">
        <v>568</v>
      </c>
      <c r="R84" s="1" t="s">
        <v>605</v>
      </c>
    </row>
    <row r="85" spans="2:18" x14ac:dyDescent="0.2">
      <c r="D85" s="96">
        <f>$E$40+(-3)*$F$83</f>
        <v>0.88595045514352466</v>
      </c>
      <c r="E85" s="69">
        <f t="shared" ref="E85:E91" si="2">D85*$M$30</f>
        <v>48.771038515506646</v>
      </c>
      <c r="F85" s="90">
        <f t="shared" ref="F85:F91" si="3">E85/$F$11-1</f>
        <v>-0.38131373188498485</v>
      </c>
      <c r="G85" s="69">
        <f t="shared" ref="G85:G91" si="4">D85*$F$58</f>
        <v>51.971945562367836</v>
      </c>
      <c r="H85" s="90">
        <f t="shared" ref="H85:H91" si="5">G85/$F$11-1</f>
        <v>-0.34070854291046759</v>
      </c>
    </row>
    <row r="86" spans="2:18" x14ac:dyDescent="0.2">
      <c r="D86" s="96">
        <f>$E$40+(-2)*$F$83</f>
        <v>1.1359504551435247</v>
      </c>
      <c r="E86" s="69">
        <f t="shared" si="2"/>
        <v>62.53338781855139</v>
      </c>
      <c r="F86" s="90">
        <f t="shared" si="3"/>
        <v>-0.20673109452554372</v>
      </c>
      <c r="G86" s="69">
        <f t="shared" si="4"/>
        <v>66.637535850356443</v>
      </c>
      <c r="H86" s="90">
        <f t="shared" si="5"/>
        <v>-0.15466781871931445</v>
      </c>
    </row>
    <row r="87" spans="2:18" x14ac:dyDescent="0.2">
      <c r="D87" s="96">
        <f>$E$40+(-1)*$F$83</f>
        <v>1.3859504551435247</v>
      </c>
      <c r="E87" s="69">
        <f t="shared" si="2"/>
        <v>76.295737121596133</v>
      </c>
      <c r="F87" s="90">
        <f t="shared" si="3"/>
        <v>-3.2148457166102595E-2</v>
      </c>
      <c r="G87" s="69">
        <f t="shared" si="4"/>
        <v>81.30312613834505</v>
      </c>
      <c r="H87" s="90">
        <f t="shared" si="5"/>
        <v>3.1372905471838797E-2</v>
      </c>
    </row>
    <row r="88" spans="2:18" x14ac:dyDescent="0.2">
      <c r="D88" s="139">
        <f>$E$40+(0)*$F$83</f>
        <v>1.6359504551435247</v>
      </c>
      <c r="E88" s="140">
        <f t="shared" si="2"/>
        <v>90.058086424640877</v>
      </c>
      <c r="F88" s="141">
        <f t="shared" si="3"/>
        <v>0.14243418019333864</v>
      </c>
      <c r="G88" s="140">
        <f t="shared" si="4"/>
        <v>95.968716426333657</v>
      </c>
      <c r="H88" s="141">
        <f t="shared" si="5"/>
        <v>0.21741362966299205</v>
      </c>
    </row>
    <row r="89" spans="2:18" x14ac:dyDescent="0.2">
      <c r="D89" s="96">
        <f>$E$40+(1)*$F$83</f>
        <v>1.8859504551435247</v>
      </c>
      <c r="E89" s="69">
        <f t="shared" si="2"/>
        <v>103.82043572768562</v>
      </c>
      <c r="F89" s="90">
        <f t="shared" si="3"/>
        <v>0.31701681755277966</v>
      </c>
      <c r="G89" s="69">
        <f t="shared" si="4"/>
        <v>110.63430671432226</v>
      </c>
      <c r="H89" s="90">
        <f t="shared" si="5"/>
        <v>0.4034543538541453</v>
      </c>
    </row>
    <row r="90" spans="2:18" x14ac:dyDescent="0.2">
      <c r="D90" s="96">
        <f>$E$40+(2)*$F$83</f>
        <v>2.1359504551435249</v>
      </c>
      <c r="E90" s="69">
        <f t="shared" si="2"/>
        <v>117.58278503073038</v>
      </c>
      <c r="F90" s="90">
        <f t="shared" si="3"/>
        <v>0.4915994549122209</v>
      </c>
      <c r="G90" s="69">
        <f t="shared" si="4"/>
        <v>125.29989700231089</v>
      </c>
      <c r="H90" s="90">
        <f t="shared" si="5"/>
        <v>0.58949507804529855</v>
      </c>
    </row>
    <row r="91" spans="2:18" x14ac:dyDescent="0.2">
      <c r="D91" s="96">
        <f>$E$40+(3)*$F$83</f>
        <v>2.3859504551435249</v>
      </c>
      <c r="E91" s="69">
        <f t="shared" si="2"/>
        <v>131.34513433377512</v>
      </c>
      <c r="F91" s="90">
        <f t="shared" si="3"/>
        <v>0.66618209227166214</v>
      </c>
      <c r="G91" s="69">
        <f t="shared" si="4"/>
        <v>139.96548729029948</v>
      </c>
      <c r="H91" s="90">
        <f t="shared" si="5"/>
        <v>0.77553580223645158</v>
      </c>
    </row>
    <row r="94" spans="2:18" x14ac:dyDescent="0.2">
      <c r="B94" s="5" t="s">
        <v>602</v>
      </c>
    </row>
    <row r="95" spans="2:18" x14ac:dyDescent="0.2">
      <c r="B95" s="1" t="s">
        <v>598</v>
      </c>
      <c r="F95" s="138">
        <v>2.5</v>
      </c>
    </row>
    <row r="96" spans="2:18" ht="30" customHeight="1" thickBot="1" x14ac:dyDescent="0.25">
      <c r="D96" s="109" t="s">
        <v>599</v>
      </c>
      <c r="E96" s="109" t="s">
        <v>603</v>
      </c>
      <c r="F96" s="109" t="s">
        <v>568</v>
      </c>
      <c r="G96" s="109" t="s">
        <v>604</v>
      </c>
      <c r="H96" s="109" t="s">
        <v>568</v>
      </c>
      <c r="R96" s="1" t="s">
        <v>606</v>
      </c>
    </row>
    <row r="97" spans="2:8" x14ac:dyDescent="0.2">
      <c r="D97" s="96">
        <f>$F$40+(-3)*$F$95</f>
        <v>15.145954428062378</v>
      </c>
      <c r="E97" s="69">
        <f t="shared" ref="E97:E103" si="6">D97*$N$30</f>
        <v>28.813181101298763</v>
      </c>
      <c r="F97" s="90">
        <f t="shared" ref="F97:F103" si="7">E97/$F$11-1</f>
        <v>-0.63448964732590685</v>
      </c>
      <c r="G97" s="69">
        <f t="shared" ref="G97:G103" si="8">D97*$F$57</f>
        <v>58.508275789087214</v>
      </c>
      <c r="H97" s="90">
        <f t="shared" ref="H97:H103" si="9">G97/$F$11-1</f>
        <v>-0.25779175708375979</v>
      </c>
    </row>
    <row r="98" spans="2:8" x14ac:dyDescent="0.2">
      <c r="D98" s="96">
        <f>$F$40+(-2)*$F$95</f>
        <v>17.645954428062378</v>
      </c>
      <c r="E98" s="69">
        <f t="shared" si="6"/>
        <v>33.569101442626639</v>
      </c>
      <c r="F98" s="90">
        <f t="shared" si="7"/>
        <v>-0.5741582970616943</v>
      </c>
      <c r="G98" s="69">
        <f t="shared" si="8"/>
        <v>68.165685638525829</v>
      </c>
      <c r="H98" s="90">
        <f t="shared" si="9"/>
        <v>-0.13528243513223603</v>
      </c>
    </row>
    <row r="99" spans="2:8" x14ac:dyDescent="0.2">
      <c r="D99" s="96">
        <f>$F$40+(-1)*$F$95</f>
        <v>20.145954428062378</v>
      </c>
      <c r="E99" s="69">
        <f t="shared" si="6"/>
        <v>38.325021783954519</v>
      </c>
      <c r="F99" s="90">
        <f t="shared" si="7"/>
        <v>-0.51382694679748164</v>
      </c>
      <c r="G99" s="69">
        <f t="shared" si="8"/>
        <v>77.823095487964451</v>
      </c>
      <c r="H99" s="90">
        <f t="shared" si="9"/>
        <v>-1.2773113180712281E-2</v>
      </c>
    </row>
    <row r="100" spans="2:8" x14ac:dyDescent="0.2">
      <c r="D100" s="139">
        <f>$F$40+(0)*$F$95</f>
        <v>22.645954428062378</v>
      </c>
      <c r="E100" s="140">
        <f t="shared" si="6"/>
        <v>43.080942125282398</v>
      </c>
      <c r="F100" s="141">
        <f t="shared" si="7"/>
        <v>-0.4534955965332691</v>
      </c>
      <c r="G100" s="140">
        <f t="shared" si="8"/>
        <v>87.480505337403059</v>
      </c>
      <c r="H100" s="141">
        <f t="shared" si="9"/>
        <v>0.10973620877081136</v>
      </c>
    </row>
    <row r="101" spans="2:8" x14ac:dyDescent="0.2">
      <c r="D101" s="96">
        <f>$F$40+(1)*$F$95</f>
        <v>25.145954428062378</v>
      </c>
      <c r="E101" s="69">
        <f t="shared" si="6"/>
        <v>47.836862466610278</v>
      </c>
      <c r="F101" s="90">
        <f t="shared" si="7"/>
        <v>-0.39316424626905644</v>
      </c>
      <c r="G101" s="69">
        <f t="shared" si="8"/>
        <v>97.137915186841681</v>
      </c>
      <c r="H101" s="90">
        <f t="shared" si="9"/>
        <v>0.23224553072233522</v>
      </c>
    </row>
    <row r="102" spans="2:8" x14ac:dyDescent="0.2">
      <c r="D102" s="96">
        <f>$F$40+(2)*$F$95</f>
        <v>27.645954428062378</v>
      </c>
      <c r="E102" s="69">
        <f t="shared" si="6"/>
        <v>52.59278280793815</v>
      </c>
      <c r="F102" s="90">
        <f t="shared" si="7"/>
        <v>-0.332832896004844</v>
      </c>
      <c r="G102" s="69">
        <f t="shared" si="8"/>
        <v>106.79532503628029</v>
      </c>
      <c r="H102" s="90">
        <f t="shared" si="9"/>
        <v>0.35475485267385887</v>
      </c>
    </row>
    <row r="103" spans="2:8" x14ac:dyDescent="0.2">
      <c r="D103" s="96">
        <f>$F$40+(3)*$F$95</f>
        <v>30.145954428062378</v>
      </c>
      <c r="E103" s="69">
        <f t="shared" si="6"/>
        <v>57.348703149266029</v>
      </c>
      <c r="F103" s="90">
        <f t="shared" si="7"/>
        <v>-0.27250154574063135</v>
      </c>
      <c r="G103" s="69">
        <f t="shared" si="8"/>
        <v>116.45273488571891</v>
      </c>
      <c r="H103" s="90">
        <f t="shared" si="9"/>
        <v>0.47726417462538273</v>
      </c>
    </row>
    <row r="106" spans="2:8" x14ac:dyDescent="0.2">
      <c r="B106" s="5" t="s">
        <v>607</v>
      </c>
    </row>
    <row r="107" spans="2:8" x14ac:dyDescent="0.2">
      <c r="B107" s="1" t="s">
        <v>608</v>
      </c>
      <c r="F107" s="53">
        <f>IF(ROUND($G$30-'DCF Valuation'!$F$19,4)=0,0,1)</f>
        <v>0</v>
      </c>
    </row>
    <row r="108" spans="2:8" x14ac:dyDescent="0.2">
      <c r="B108" s="1" t="s">
        <v>609</v>
      </c>
      <c r="F108" s="53" cm="1">
        <f t="array" ref="F108">IF(SUMPRODUCT(--ISNUMBER($O$25:$O$28),--(ABS($N$25:$N$28/IF(ISNUMBER($O$25:$O$28),$O$25:$O$28,1)-1)&gt;0.02))=0,0,1)</f>
        <v>0</v>
      </c>
    </row>
    <row r="109" spans="2:8" x14ac:dyDescent="0.2">
      <c r="B109" s="1" t="s">
        <v>610</v>
      </c>
      <c r="F109" s="53">
        <f>IF(AND(ROUND($E$88-$F$63,6)=0,ROUND($E$100-$F$64,6)=0),0,1)</f>
        <v>0</v>
      </c>
    </row>
    <row r="110" spans="2:8" x14ac:dyDescent="0.2">
      <c r="B110" s="1" t="s">
        <v>611</v>
      </c>
      <c r="F110" s="53">
        <f>IF(AND(MIN($D$25:$D$28,$D$30)&gt;0,MIN($G$25:$G$28,$G$30)&gt;0,MIN($I$25:$I$28,$I$30)&gt;0),0,1)</f>
        <v>0</v>
      </c>
    </row>
    <row r="111" spans="2:8" x14ac:dyDescent="0.2">
      <c r="B111" s="1" t="s">
        <v>612</v>
      </c>
      <c r="F111" s="53" cm="1">
        <f t="array" ref="F111">IF(SUMPRODUCT(--ISERROR($D$25:$P$79))=0,0,1)</f>
        <v>0</v>
      </c>
    </row>
    <row r="112" spans="2:8" x14ac:dyDescent="0.2">
      <c r="B112" s="5" t="s">
        <v>613</v>
      </c>
      <c r="C112" s="5"/>
      <c r="D112" s="5"/>
      <c r="E112" s="5"/>
      <c r="F112" s="142">
        <f>IF(SUM($F$107:$F$111)=0,0,1)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D73A-8794-4541-B79A-D7D809E6F9C8}">
  <sheetPr>
    <tabColor rgb="FF9C1D26"/>
  </sheetPr>
  <dimension ref="A3:R65"/>
  <sheetViews>
    <sheetView showGridLines="0" tabSelected="1" workbookViewId="0">
      <pane ySplit="5" topLeftCell="A6" activePane="bottomLeft" state="frozen"/>
      <selection pane="bottomLeft" activeCell="L10" sqref="L10"/>
    </sheetView>
  </sheetViews>
  <sheetFormatPr baseColWidth="10" defaultRowHeight="16" x14ac:dyDescent="0.2"/>
  <cols>
    <col min="1" max="1" width="2" style="1" customWidth="1"/>
    <col min="2" max="2" width="33.33203125" style="1" customWidth="1"/>
    <col min="3" max="3" width="3.33203125" style="1" customWidth="1"/>
    <col min="4" max="4" width="11.6640625" style="1" customWidth="1"/>
    <col min="5" max="5" width="2" style="1" customWidth="1"/>
    <col min="6" max="15" width="10.33203125" style="1" customWidth="1"/>
    <col min="16" max="16" width="2" style="1" customWidth="1"/>
    <col min="17" max="17" width="53.33203125" style="1" customWidth="1"/>
    <col min="18" max="18" width="10.83203125" style="1"/>
  </cols>
  <sheetData>
    <row r="3" spans="2:15" ht="20" x14ac:dyDescent="0.25">
      <c r="B3" s="150" t="s">
        <v>0</v>
      </c>
      <c r="C3" s="151"/>
      <c r="D3" s="151"/>
      <c r="E3" s="151"/>
      <c r="F3" s="151"/>
      <c r="G3" s="151"/>
      <c r="H3" s="151"/>
      <c r="I3" s="151"/>
      <c r="J3" s="151"/>
      <c r="K3" s="161"/>
      <c r="L3" s="161"/>
      <c r="M3" s="161"/>
      <c r="N3" s="161"/>
      <c r="O3" s="161"/>
    </row>
    <row r="5" spans="2:15" ht="17" thickBot="1" x14ac:dyDescent="0.25">
      <c r="B5" s="3" t="s">
        <v>1</v>
      </c>
      <c r="F5" s="4">
        <f>G5-1</f>
        <v>2022</v>
      </c>
      <c r="G5" s="4">
        <f>H5-1</f>
        <v>2023</v>
      </c>
      <c r="H5" s="4">
        <f>I5-1</f>
        <v>2024</v>
      </c>
      <c r="I5" s="4">
        <f>J5-1</f>
        <v>2025</v>
      </c>
      <c r="J5" s="4">
        <f>Inputs!$F$80-1</f>
        <v>2026</v>
      </c>
    </row>
    <row r="6" spans="2:15" x14ac:dyDescent="0.2">
      <c r="B6" s="3" t="s">
        <v>2</v>
      </c>
    </row>
    <row r="7" spans="2:15" x14ac:dyDescent="0.2">
      <c r="B7" s="5" t="s">
        <v>3</v>
      </c>
    </row>
    <row r="8" spans="2:15" x14ac:dyDescent="0.2">
      <c r="B8" s="1" t="s">
        <v>7</v>
      </c>
      <c r="F8" s="7">
        <v>14174.01</v>
      </c>
      <c r="G8" s="7">
        <v>19159.38</v>
      </c>
      <c r="H8" s="7">
        <v>25915.89</v>
      </c>
      <c r="I8" s="7">
        <v>30834.52</v>
      </c>
      <c r="J8" s="7">
        <v>34198.629999999997</v>
      </c>
    </row>
    <row r="9" spans="2:15" x14ac:dyDescent="0.2">
      <c r="B9" s="1" t="s">
        <v>8</v>
      </c>
      <c r="F9" s="7">
        <v>2615.37</v>
      </c>
      <c r="G9" s="7">
        <v>3232.2</v>
      </c>
      <c r="H9" s="7">
        <v>4117.6899999999996</v>
      </c>
      <c r="I9" s="7">
        <v>5317.39</v>
      </c>
      <c r="J9" s="7">
        <v>5949.65</v>
      </c>
    </row>
    <row r="10" spans="2:15" x14ac:dyDescent="0.2">
      <c r="B10" s="1" t="s">
        <v>9</v>
      </c>
      <c r="F10" s="7">
        <v>241.24</v>
      </c>
      <c r="G10" s="7">
        <v>148.37</v>
      </c>
      <c r="H10" s="7">
        <v>93.64</v>
      </c>
      <c r="I10" s="7">
        <v>114.55</v>
      </c>
      <c r="J10" s="7">
        <v>130.96</v>
      </c>
    </row>
    <row r="11" spans="2:15" x14ac:dyDescent="0.2">
      <c r="B11" s="1" t="s">
        <v>10</v>
      </c>
      <c r="F11" s="7">
        <v>142.06</v>
      </c>
      <c r="G11" s="7">
        <v>187.59</v>
      </c>
      <c r="H11" s="7">
        <v>195.28</v>
      </c>
      <c r="I11" s="7">
        <v>235.03</v>
      </c>
      <c r="J11" s="7">
        <v>269.58</v>
      </c>
    </row>
    <row r="12" spans="2:15" x14ac:dyDescent="0.2">
      <c r="B12" s="5" t="s">
        <v>11</v>
      </c>
      <c r="C12" s="5"/>
      <c r="D12" s="5"/>
      <c r="E12" s="5"/>
      <c r="F12" s="10">
        <f>SUM(F8:F11)</f>
        <v>17172.680000000004</v>
      </c>
      <c r="G12" s="10">
        <f>SUM(G8:G11)</f>
        <v>22727.54</v>
      </c>
      <c r="H12" s="10">
        <f>SUM(H8:H11)</f>
        <v>30322.499999999996</v>
      </c>
      <c r="I12" s="10">
        <f>SUM(I8:I11)</f>
        <v>36501.490000000005</v>
      </c>
      <c r="J12" s="10">
        <f>SUM(J8:J11)</f>
        <v>40548.82</v>
      </c>
    </row>
    <row r="13" spans="2:15" x14ac:dyDescent="0.2">
      <c r="B13" s="1" t="s">
        <v>12</v>
      </c>
      <c r="F13" s="7">
        <v>3222.04</v>
      </c>
      <c r="G13" s="7">
        <v>4466.97</v>
      </c>
      <c r="H13" s="7">
        <v>6002</v>
      </c>
      <c r="I13" s="7">
        <v>7021.71</v>
      </c>
      <c r="J13" s="7">
        <v>7873.29</v>
      </c>
    </row>
    <row r="14" spans="2:15" x14ac:dyDescent="0.2">
      <c r="B14" s="1" t="s">
        <v>13</v>
      </c>
      <c r="F14" s="7">
        <v>7466.52</v>
      </c>
      <c r="G14" s="7">
        <v>10092.209999999999</v>
      </c>
      <c r="H14" s="7">
        <v>13871.75</v>
      </c>
      <c r="I14" s="7">
        <v>17209.52</v>
      </c>
      <c r="J14" s="7">
        <v>19333.55</v>
      </c>
    </row>
    <row r="15" spans="2:15" x14ac:dyDescent="0.2">
      <c r="B15" s="1" t="s">
        <v>14</v>
      </c>
      <c r="F15" s="7">
        <v>2696.54</v>
      </c>
      <c r="G15" s="7">
        <v>3742.23</v>
      </c>
      <c r="H15" s="7">
        <v>4892.53</v>
      </c>
      <c r="I15" s="7">
        <v>5709.9</v>
      </c>
      <c r="J15" s="7">
        <v>6181.93</v>
      </c>
    </row>
    <row r="16" spans="2:15" x14ac:dyDescent="0.2">
      <c r="B16" s="1" t="s">
        <v>15</v>
      </c>
      <c r="F16" s="7">
        <v>6947.91</v>
      </c>
      <c r="G16" s="7">
        <v>8428.1200000000008</v>
      </c>
      <c r="H16" s="7">
        <v>11323.25</v>
      </c>
      <c r="I16" s="7">
        <v>13188.93</v>
      </c>
      <c r="J16" s="7">
        <v>15695.27</v>
      </c>
    </row>
    <row r="17" spans="2:10" x14ac:dyDescent="0.2">
      <c r="B17" s="1" t="s">
        <v>16</v>
      </c>
      <c r="F17" s="7">
        <v>3108.58</v>
      </c>
      <c r="G17" s="7">
        <v>1664.82</v>
      </c>
      <c r="H17" s="7">
        <v>2381.65</v>
      </c>
      <c r="I17" s="7">
        <v>5514.73</v>
      </c>
      <c r="J17" s="7">
        <v>5378.55</v>
      </c>
    </row>
    <row r="18" spans="2:10" x14ac:dyDescent="0.2">
      <c r="B18" s="1" t="s">
        <v>17</v>
      </c>
      <c r="F18" s="7">
        <v>29.68</v>
      </c>
      <c r="G18" s="7">
        <v>830</v>
      </c>
      <c r="H18" s="7">
        <v>898.81</v>
      </c>
      <c r="I18" s="7">
        <v>375.27</v>
      </c>
      <c r="J18" s="7">
        <v>196.45</v>
      </c>
    </row>
    <row r="19" spans="2:10" x14ac:dyDescent="0.2">
      <c r="B19" s="5" t="s">
        <v>18</v>
      </c>
      <c r="C19" s="5"/>
      <c r="D19" s="5"/>
      <c r="E19" s="5"/>
      <c r="F19" s="10">
        <f>F12+F13-F14-F15-F16-F17-F18</f>
        <v>145.4900000000037</v>
      </c>
      <c r="G19" s="10">
        <f>G12+G13-G14-G15-G16-G17-G18</f>
        <v>2437.1300000000028</v>
      </c>
      <c r="H19" s="10">
        <f>H12+H13-H14-H15-H16-H17-H18</f>
        <v>2956.5100000000011</v>
      </c>
      <c r="I19" s="10">
        <f>I12+I13-I14-I15-I16-I17-I18</f>
        <v>1524.8500000000063</v>
      </c>
      <c r="J19" s="10">
        <f>J12+J13-J14-J15-J16-J17-J18</f>
        <v>1636.3600000000004</v>
      </c>
    </row>
    <row r="20" spans="2:10" x14ac:dyDescent="0.2">
      <c r="B20" s="1" t="s">
        <v>19</v>
      </c>
      <c r="F20" s="7">
        <v>145.49</v>
      </c>
      <c r="G20" s="7">
        <v>2437.13</v>
      </c>
      <c r="H20" s="7">
        <v>2956.51</v>
      </c>
      <c r="I20" s="7">
        <v>1524.85</v>
      </c>
      <c r="J20" s="7">
        <v>1636.36</v>
      </c>
    </row>
    <row r="21" spans="2:10" x14ac:dyDescent="0.2">
      <c r="B21" s="11" t="s">
        <v>20</v>
      </c>
      <c r="C21" s="11"/>
      <c r="D21" s="11"/>
      <c r="E21" s="11"/>
      <c r="F21" s="12">
        <f>ROUND(F19-F20,0)</f>
        <v>0</v>
      </c>
      <c r="G21" s="12">
        <f>ROUND(G19-G20,0)</f>
        <v>0</v>
      </c>
      <c r="H21" s="12">
        <f>ROUND(H19-H20,0)</f>
        <v>0</v>
      </c>
      <c r="I21" s="12">
        <f>ROUND(I19-I20,0)</f>
        <v>0</v>
      </c>
      <c r="J21" s="12">
        <f>ROUND(J19-J20,0)</f>
        <v>0</v>
      </c>
    </row>
    <row r="23" spans="2:10" x14ac:dyDescent="0.2">
      <c r="B23" s="5" t="s">
        <v>4</v>
      </c>
    </row>
    <row r="24" spans="2:10" x14ac:dyDescent="0.2">
      <c r="B24" s="1" t="s">
        <v>21</v>
      </c>
      <c r="F24" s="7">
        <v>6217.71</v>
      </c>
      <c r="G24" s="7">
        <v>6618.12</v>
      </c>
      <c r="H24" s="7">
        <v>7069.92</v>
      </c>
      <c r="I24" s="7">
        <v>7322.11</v>
      </c>
      <c r="J24" s="7">
        <v>8601.7000000000007</v>
      </c>
    </row>
    <row r="25" spans="2:10" x14ac:dyDescent="0.2">
      <c r="B25" s="1" t="s">
        <v>22</v>
      </c>
      <c r="F25" s="7">
        <v>16.12</v>
      </c>
      <c r="G25" s="7">
        <v>37.119999999999997</v>
      </c>
      <c r="H25" s="7">
        <v>58.93</v>
      </c>
      <c r="I25" s="7">
        <v>148.72</v>
      </c>
      <c r="J25" s="7">
        <v>287.87</v>
      </c>
    </row>
    <row r="26" spans="2:10" x14ac:dyDescent="0.2">
      <c r="B26" s="1" t="s">
        <v>23</v>
      </c>
      <c r="F26" s="7">
        <v>14769.65</v>
      </c>
      <c r="G26" s="7">
        <v>19065.93</v>
      </c>
      <c r="H26" s="7">
        <v>25032.46</v>
      </c>
      <c r="I26" s="7">
        <v>30607.17</v>
      </c>
      <c r="J26" s="7">
        <v>38462.269999999997</v>
      </c>
    </row>
    <row r="27" spans="2:10" x14ac:dyDescent="0.2">
      <c r="B27" s="1" t="s">
        <v>24</v>
      </c>
      <c r="F27" s="7">
        <v>105634.36</v>
      </c>
      <c r="G27" s="7">
        <v>144637.31</v>
      </c>
      <c r="H27" s="7">
        <v>200576.31</v>
      </c>
      <c r="I27" s="7">
        <v>252065.25</v>
      </c>
      <c r="J27" s="7">
        <v>294474.55</v>
      </c>
    </row>
    <row r="28" spans="2:10" x14ac:dyDescent="0.2">
      <c r="B28" s="1" t="s">
        <v>25</v>
      </c>
      <c r="F28" s="7">
        <v>52962.6</v>
      </c>
      <c r="G28" s="7">
        <v>57212.09</v>
      </c>
      <c r="H28" s="7">
        <v>50935.57</v>
      </c>
      <c r="I28" s="7">
        <v>38974.839999999997</v>
      </c>
      <c r="J28" s="7">
        <v>36620.68</v>
      </c>
    </row>
    <row r="29" spans="2:10" x14ac:dyDescent="0.2">
      <c r="B29" s="1" t="s">
        <v>26</v>
      </c>
      <c r="F29" s="7">
        <v>10581.17</v>
      </c>
      <c r="G29" s="7">
        <v>12371.09</v>
      </c>
      <c r="H29" s="7">
        <v>12441.91</v>
      </c>
      <c r="I29" s="7">
        <v>14700.56</v>
      </c>
      <c r="J29" s="7">
        <v>21333.02</v>
      </c>
    </row>
    <row r="30" spans="2:10" x14ac:dyDescent="0.2">
      <c r="B30" s="5" t="s">
        <v>27</v>
      </c>
      <c r="C30" s="5"/>
      <c r="D30" s="5"/>
      <c r="E30" s="5"/>
      <c r="F30" s="10">
        <f>SUM(F24:F29)</f>
        <v>190181.61000000002</v>
      </c>
      <c r="G30" s="10">
        <f>SUM(G24:G29)</f>
        <v>239941.65999999997</v>
      </c>
      <c r="H30" s="10">
        <f>SUM(H24:H29)</f>
        <v>296115.09999999998</v>
      </c>
      <c r="I30" s="10">
        <f>SUM(I24:I29)</f>
        <v>343818.64999999997</v>
      </c>
      <c r="J30" s="10">
        <f>SUM(J24:J29)</f>
        <v>399780.09</v>
      </c>
    </row>
    <row r="31" spans="2:10" x14ac:dyDescent="0.2">
      <c r="B31" s="1" t="s">
        <v>28</v>
      </c>
      <c r="F31" s="7">
        <v>11389.92</v>
      </c>
      <c r="G31" s="7">
        <v>10739.74</v>
      </c>
      <c r="H31" s="7">
        <v>11075.02</v>
      </c>
      <c r="I31" s="7">
        <v>14023.5</v>
      </c>
      <c r="J31" s="7">
        <v>11337.13</v>
      </c>
    </row>
    <row r="32" spans="2:10" x14ac:dyDescent="0.2">
      <c r="B32" s="1" t="s">
        <v>29</v>
      </c>
      <c r="F32" s="7">
        <v>4367.99</v>
      </c>
      <c r="G32" s="7">
        <v>3158.22</v>
      </c>
      <c r="H32" s="7">
        <v>1405.19</v>
      </c>
      <c r="I32" s="7">
        <v>1073.8599999999999</v>
      </c>
      <c r="J32" s="7">
        <v>1425.26</v>
      </c>
    </row>
    <row r="33" spans="2:10" x14ac:dyDescent="0.2">
      <c r="B33" s="1" t="s">
        <v>30</v>
      </c>
      <c r="F33" s="7">
        <v>46144.84</v>
      </c>
      <c r="G33" s="7">
        <v>61123.55</v>
      </c>
      <c r="H33" s="7">
        <v>74710.39</v>
      </c>
      <c r="I33" s="7">
        <v>80715.520000000004</v>
      </c>
      <c r="J33" s="7">
        <v>85966.25</v>
      </c>
    </row>
    <row r="34" spans="2:10" x14ac:dyDescent="0.2">
      <c r="B34" s="1" t="s">
        <v>31</v>
      </c>
      <c r="F34" s="7">
        <v>117857.8</v>
      </c>
      <c r="G34" s="7">
        <v>151794.53</v>
      </c>
      <c r="H34" s="7">
        <v>194592.37</v>
      </c>
      <c r="I34" s="7">
        <v>233112.53</v>
      </c>
      <c r="J34" s="7">
        <v>280390.59999999998</v>
      </c>
    </row>
    <row r="35" spans="2:10" x14ac:dyDescent="0.2">
      <c r="B35" s="1" t="s">
        <v>32</v>
      </c>
      <c r="F35" s="7">
        <v>1361.22</v>
      </c>
      <c r="G35" s="7">
        <v>2090.13</v>
      </c>
      <c r="H35" s="7">
        <v>2619.4299999999998</v>
      </c>
      <c r="I35" s="7">
        <v>2662.65</v>
      </c>
      <c r="J35" s="7">
        <v>2557.2800000000002</v>
      </c>
    </row>
    <row r="36" spans="2:10" x14ac:dyDescent="0.2">
      <c r="B36" s="1" t="s">
        <v>33</v>
      </c>
      <c r="F36" s="7">
        <v>9059.84</v>
      </c>
      <c r="G36" s="7">
        <v>11035.49</v>
      </c>
      <c r="H36" s="7">
        <v>11712.7</v>
      </c>
      <c r="I36" s="7">
        <v>12230.59</v>
      </c>
      <c r="J36" s="7">
        <v>18103.57</v>
      </c>
    </row>
    <row r="37" spans="2:10" x14ac:dyDescent="0.2">
      <c r="B37" s="5" t="s">
        <v>34</v>
      </c>
      <c r="C37" s="5"/>
      <c r="D37" s="5"/>
      <c r="E37" s="5"/>
      <c r="F37" s="10">
        <f>SUM(F31:F36)</f>
        <v>190181.61</v>
      </c>
      <c r="G37" s="10">
        <f>SUM(G31:G36)</f>
        <v>239941.66</v>
      </c>
      <c r="H37" s="10">
        <f>SUM(H31:H36)</f>
        <v>296115.09999999998</v>
      </c>
      <c r="I37" s="10">
        <f>SUM(I31:I36)</f>
        <v>343818.65000000008</v>
      </c>
      <c r="J37" s="10">
        <f>SUM(J31:J36)</f>
        <v>399780.09</v>
      </c>
    </row>
    <row r="38" spans="2:10" x14ac:dyDescent="0.2">
      <c r="B38" s="11" t="s">
        <v>20</v>
      </c>
      <c r="C38" s="11"/>
      <c r="D38" s="11"/>
      <c r="E38" s="11"/>
      <c r="F38" s="12">
        <f>ROUND(F30-F37,0)</f>
        <v>0</v>
      </c>
      <c r="G38" s="12">
        <f>ROUND(G30-G37,0)</f>
        <v>0</v>
      </c>
      <c r="H38" s="12">
        <f>ROUND(H30-H37,0)</f>
        <v>0</v>
      </c>
      <c r="I38" s="12">
        <f>ROUND(I30-I37,0)</f>
        <v>0</v>
      </c>
      <c r="J38" s="12">
        <f>ROUND(J30-J37,0)</f>
        <v>0</v>
      </c>
    </row>
    <row r="40" spans="2:10" x14ac:dyDescent="0.2">
      <c r="B40" s="5" t="s">
        <v>5</v>
      </c>
    </row>
    <row r="41" spans="2:10" x14ac:dyDescent="0.2">
      <c r="B41" s="1" t="s">
        <v>35</v>
      </c>
      <c r="F41" s="7">
        <v>2603.92</v>
      </c>
      <c r="G41" s="7">
        <v>3599.65</v>
      </c>
      <c r="H41" s="7">
        <v>11327.96</v>
      </c>
      <c r="I41" s="7">
        <v>14394.54</v>
      </c>
      <c r="J41" s="7">
        <v>6915.04</v>
      </c>
    </row>
    <row r="42" spans="2:10" x14ac:dyDescent="0.2">
      <c r="B42" s="1" t="s">
        <v>36</v>
      </c>
      <c r="F42" s="7">
        <v>-2884.46</v>
      </c>
      <c r="G42" s="7">
        <v>-11968.64</v>
      </c>
      <c r="H42" s="7">
        <v>-9791.7900000000009</v>
      </c>
      <c r="I42" s="7">
        <v>-3399.22</v>
      </c>
      <c r="J42" s="7">
        <v>-14241.28</v>
      </c>
    </row>
    <row r="43" spans="2:10" x14ac:dyDescent="0.2">
      <c r="B43" s="1" t="s">
        <v>37</v>
      </c>
      <c r="F43" s="7">
        <v>10210.59</v>
      </c>
      <c r="G43" s="7">
        <v>6509.04</v>
      </c>
      <c r="H43" s="7">
        <v>-2953.92</v>
      </c>
      <c r="I43" s="7">
        <v>-8682.0499999999993</v>
      </c>
      <c r="J43" s="7">
        <v>4969.12</v>
      </c>
    </row>
    <row r="44" spans="2:10" x14ac:dyDescent="0.2">
      <c r="B44" s="1" t="s">
        <v>38</v>
      </c>
      <c r="F44" s="7">
        <v>0</v>
      </c>
      <c r="G44" s="7">
        <v>0</v>
      </c>
      <c r="H44" s="7">
        <v>0</v>
      </c>
      <c r="I44" s="7">
        <v>4.95</v>
      </c>
      <c r="J44" s="7">
        <v>22.15</v>
      </c>
    </row>
    <row r="45" spans="2:10" x14ac:dyDescent="0.2">
      <c r="B45" s="1" t="s">
        <v>39</v>
      </c>
      <c r="D45" s="14" t="s">
        <v>55</v>
      </c>
      <c r="F45" s="7">
        <v>0</v>
      </c>
      <c r="G45" s="7">
        <v>0</v>
      </c>
      <c r="H45" s="7">
        <v>0</v>
      </c>
      <c r="I45" s="7">
        <v>298.93</v>
      </c>
      <c r="J45" s="7">
        <v>0</v>
      </c>
    </row>
    <row r="46" spans="2:10" x14ac:dyDescent="0.2">
      <c r="B46" s="5" t="s">
        <v>40</v>
      </c>
      <c r="C46" s="5"/>
      <c r="D46" s="5"/>
      <c r="E46" s="5"/>
      <c r="F46" s="10">
        <f>SUM(F41:F45)</f>
        <v>9930.0499999999993</v>
      </c>
      <c r="G46" s="10">
        <f>SUM(G41:G45)</f>
        <v>-1859.9499999999998</v>
      </c>
      <c r="H46" s="10">
        <f>SUM(H41:H45)</f>
        <v>-1417.7500000000018</v>
      </c>
      <c r="I46" s="10">
        <f>SUM(I41:I45)</f>
        <v>2617.1500000000019</v>
      </c>
      <c r="J46" s="10">
        <f>SUM(J41:J45)</f>
        <v>-2334.9700000000007</v>
      </c>
    </row>
    <row r="47" spans="2:10" x14ac:dyDescent="0.2">
      <c r="B47" s="1" t="s">
        <v>41</v>
      </c>
      <c r="F47" s="7">
        <v>5827.86</v>
      </c>
      <c r="G47" s="7">
        <v>15757.91</v>
      </c>
      <c r="H47" s="7">
        <v>13897.96</v>
      </c>
      <c r="I47" s="7">
        <v>12480.21</v>
      </c>
      <c r="J47" s="7">
        <v>15097.36</v>
      </c>
    </row>
    <row r="48" spans="2:10" x14ac:dyDescent="0.2">
      <c r="B48" s="1" t="s">
        <v>42</v>
      </c>
      <c r="F48" s="7">
        <v>15757.91</v>
      </c>
      <c r="G48" s="7">
        <v>13897.96</v>
      </c>
      <c r="H48" s="7">
        <v>12480.21</v>
      </c>
      <c r="I48" s="7">
        <v>15097.36</v>
      </c>
      <c r="J48" s="7">
        <v>12762.39</v>
      </c>
    </row>
    <row r="49" spans="2:10" x14ac:dyDescent="0.2">
      <c r="B49" s="11" t="s">
        <v>20</v>
      </c>
      <c r="C49" s="11"/>
      <c r="D49" s="11"/>
      <c r="E49" s="11"/>
      <c r="F49" s="12">
        <f>ROUND(F47+F46-F48,0)</f>
        <v>0</v>
      </c>
      <c r="G49" s="12">
        <f>ROUND(G47+G46-G48,0)</f>
        <v>0</v>
      </c>
      <c r="H49" s="12">
        <f>ROUND(H47+H46-H48,0)</f>
        <v>0</v>
      </c>
      <c r="I49" s="12">
        <f>ROUND(I47+I46-I48,0)</f>
        <v>0</v>
      </c>
      <c r="J49" s="12">
        <f>ROUND(J47+J46-J48,0)</f>
        <v>0</v>
      </c>
    </row>
    <row r="50" spans="2:10" x14ac:dyDescent="0.2">
      <c r="B50" s="1" t="s">
        <v>43</v>
      </c>
      <c r="F50" s="7">
        <v>373.26</v>
      </c>
      <c r="G50" s="7">
        <v>424.68</v>
      </c>
      <c r="H50" s="7">
        <v>618.32000000000005</v>
      </c>
      <c r="I50" s="7">
        <v>820.41</v>
      </c>
      <c r="J50" s="7">
        <v>843.59</v>
      </c>
    </row>
    <row r="51" spans="2:10" x14ac:dyDescent="0.2">
      <c r="B51" s="1" t="s">
        <v>44</v>
      </c>
      <c r="F51" s="7">
        <v>476.06</v>
      </c>
      <c r="G51" s="7">
        <v>1160.71</v>
      </c>
      <c r="H51" s="7">
        <v>1348.9</v>
      </c>
      <c r="I51" s="7">
        <v>885.91</v>
      </c>
      <c r="J51" s="7">
        <v>763.76</v>
      </c>
    </row>
    <row r="53" spans="2:10" x14ac:dyDescent="0.2">
      <c r="B53" s="5" t="s">
        <v>6</v>
      </c>
    </row>
    <row r="54" spans="2:10" x14ac:dyDescent="0.2">
      <c r="B54" s="1" t="s">
        <v>45</v>
      </c>
      <c r="F54" s="7">
        <v>4469.13</v>
      </c>
      <c r="G54" s="7">
        <v>3884.45</v>
      </c>
      <c r="H54" s="7">
        <v>3718.36</v>
      </c>
      <c r="I54" s="7">
        <v>4433.58</v>
      </c>
      <c r="J54" s="7">
        <v>4558.5200000000004</v>
      </c>
    </row>
    <row r="55" spans="2:10" x14ac:dyDescent="0.2">
      <c r="B55" s="1" t="s">
        <v>46</v>
      </c>
      <c r="F55" s="7">
        <v>1808.07</v>
      </c>
      <c r="G55" s="7">
        <v>1304.05</v>
      </c>
      <c r="H55" s="7">
        <v>1160.46</v>
      </c>
      <c r="I55" s="7">
        <v>1229.92</v>
      </c>
      <c r="J55" s="7">
        <v>1346.44</v>
      </c>
    </row>
    <row r="56" spans="2:10" x14ac:dyDescent="0.2">
      <c r="B56" s="1" t="s">
        <v>47</v>
      </c>
      <c r="F56" s="13">
        <v>3.6999999999999998E-2</v>
      </c>
      <c r="G56" s="13">
        <v>2.5100000000000001E-2</v>
      </c>
      <c r="H56" s="13">
        <v>1.8800000000000001E-2</v>
      </c>
      <c r="I56" s="13">
        <v>1.8700000000000001E-2</v>
      </c>
      <c r="J56" s="13">
        <v>1.61E-2</v>
      </c>
    </row>
    <row r="57" spans="2:10" x14ac:dyDescent="0.2">
      <c r="B57" s="1" t="s">
        <v>48</v>
      </c>
      <c r="F57" s="13">
        <v>1.5299999999999999E-2</v>
      </c>
      <c r="G57" s="13">
        <v>8.6E-3</v>
      </c>
      <c r="H57" s="13">
        <v>6.0000000000000001E-3</v>
      </c>
      <c r="I57" s="13">
        <v>5.3E-3</v>
      </c>
      <c r="J57" s="13">
        <v>4.7999999999999996E-3</v>
      </c>
    </row>
    <row r="58" spans="2:10" x14ac:dyDescent="0.2">
      <c r="B58" s="1" t="s">
        <v>49</v>
      </c>
      <c r="F58" s="13">
        <v>0.16739999999999999</v>
      </c>
      <c r="G58" s="13">
        <v>0.16819999999999999</v>
      </c>
      <c r="H58" s="13">
        <v>0.16109999999999999</v>
      </c>
      <c r="I58" s="13">
        <v>0.15479999999999999</v>
      </c>
      <c r="J58" s="13">
        <v>0.156</v>
      </c>
    </row>
    <row r="59" spans="2:10" x14ac:dyDescent="0.2">
      <c r="B59" s="1" t="s">
        <v>50</v>
      </c>
      <c r="F59" s="7">
        <v>51170</v>
      </c>
      <c r="G59" s="7">
        <v>71983</v>
      </c>
      <c r="H59" s="7">
        <v>94768</v>
      </c>
      <c r="I59" s="7">
        <v>118237</v>
      </c>
      <c r="J59" s="7">
        <v>146650</v>
      </c>
    </row>
    <row r="60" spans="2:10" x14ac:dyDescent="0.2">
      <c r="B60" s="1" t="s">
        <v>51</v>
      </c>
      <c r="F60" s="13"/>
      <c r="G60" s="13"/>
      <c r="H60" s="13"/>
      <c r="I60" s="13">
        <v>0.13170000000000001</v>
      </c>
      <c r="J60" s="13">
        <v>0.13730000000000001</v>
      </c>
    </row>
    <row r="61" spans="2:10" x14ac:dyDescent="0.2">
      <c r="B61" s="1" t="s">
        <v>52</v>
      </c>
      <c r="F61" s="7"/>
      <c r="G61" s="7"/>
      <c r="H61" s="7"/>
      <c r="I61" s="7">
        <v>276473</v>
      </c>
      <c r="J61" s="7">
        <v>330919</v>
      </c>
    </row>
    <row r="62" spans="2:10" x14ac:dyDescent="0.2">
      <c r="B62" s="1" t="s">
        <v>53</v>
      </c>
      <c r="F62" s="7"/>
      <c r="G62" s="7"/>
      <c r="H62" s="7"/>
      <c r="I62" s="7">
        <v>36428</v>
      </c>
      <c r="J62" s="7">
        <v>45427</v>
      </c>
    </row>
    <row r="63" spans="2:10" x14ac:dyDescent="0.2">
      <c r="B63" s="1" t="s">
        <v>54</v>
      </c>
      <c r="F63" s="7"/>
      <c r="G63" s="7"/>
      <c r="H63" s="7"/>
      <c r="I63" s="7">
        <v>6381</v>
      </c>
      <c r="J63" s="7">
        <v>6186</v>
      </c>
    </row>
    <row r="65" spans="2:2" x14ac:dyDescent="0.2">
      <c r="B65" s="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Outputs</vt:lpstr>
      <vt:lpstr>Inputs</vt:lpstr>
      <vt:lpstr>Model</vt:lpstr>
      <vt:lpstr>DCF Valuation</vt:lpstr>
      <vt:lpstr>Comparable Company Analysis</vt:lpstr>
      <vt:lpstr>Historicals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Bishal Pegu</dc:creator>
  <cp:lastModifiedBy>Bishal Pegu</cp:lastModifiedBy>
  <dcterms:created xsi:type="dcterms:W3CDTF">2026-10-14T18:39:05Z</dcterms:created>
  <dcterms:modified xsi:type="dcterms:W3CDTF">2026-10-15T11:28:23Z</dcterms:modified>
</cp:coreProperties>
</file>